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het\Desktop\RMRC V0.1\RMRC V0.1 PCB\RMRC V0.1\Project Outputs for RMRC V0.1\"/>
    </mc:Choice>
  </mc:AlternateContent>
  <xr:revisionPtr revIDLastSave="0" documentId="13_ncr:1_{3454D848-A2D6-4B2A-AAEA-A6DBA781C666}" xr6:coauthVersionLast="47" xr6:coauthVersionMax="47" xr10:uidLastSave="{00000000-0000-0000-0000-000000000000}"/>
  <bookViews>
    <workbookView xWindow="-120" yWindow="-120" windowWidth="25440" windowHeight="15270" xr2:uid="{DD5A6C5E-E11B-46C2-8E06-A20C5E6A0323}"/>
  </bookViews>
  <sheets>
    <sheet name="RMRC V0.2" sheetId="1" r:id="rId1"/>
  </sheets>
  <definedNames>
    <definedName name="_xlnm.Print_Titles" localSheetId="0">'RMRC V0.2'!$1:$1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</calcChain>
</file>

<file path=xl/sharedStrings.xml><?xml version="1.0" encoding="utf-8"?>
<sst xmlns="http://schemas.openxmlformats.org/spreadsheetml/2006/main" count="182" uniqueCount="140">
  <si>
    <t>Comment</t>
  </si>
  <si>
    <t>Description</t>
  </si>
  <si>
    <t>Designator</t>
  </si>
  <si>
    <t>Footprint</t>
  </si>
  <si>
    <t>LibRef</t>
  </si>
  <si>
    <t>Quantity</t>
  </si>
  <si>
    <t>mp 1584 12v</t>
  </si>
  <si>
    <t>*1</t>
  </si>
  <si>
    <t>PCBComponent_1</t>
  </si>
  <si>
    <t>Component_1</t>
  </si>
  <si>
    <t>470uF-16v-polymer</t>
  </si>
  <si>
    <t>CAP ALUM 100UF 20% 50V SMD</t>
  </si>
  <si>
    <t>C1, C2, C3</t>
  </si>
  <si>
    <t>CAP_EEEFN1H101L</t>
  </si>
  <si>
    <t>EEEFN1H101L</t>
  </si>
  <si>
    <t>1nF-1206</t>
  </si>
  <si>
    <t>1ÂµF Â±20% 50V Ceramic Capacitor X8R 1206 (3216 Metric)</t>
  </si>
  <si>
    <t>C4</t>
  </si>
  <si>
    <t>CAPC3216X180N</t>
  </si>
  <si>
    <t>CGA5L3X8R1H105M160AB</t>
  </si>
  <si>
    <t>470uF-6.3v-polymer</t>
  </si>
  <si>
    <t>C5</t>
  </si>
  <si>
    <t>22pf-1206</t>
  </si>
  <si>
    <t>C6, C7</t>
  </si>
  <si>
    <t>1uf-1206</t>
  </si>
  <si>
    <t>C8, C9, C10, C11, C17, C18, C19, C20, C21, C22, C23, C24</t>
  </si>
  <si>
    <t>22nf -0805</t>
  </si>
  <si>
    <t>SMD Capacitor X6S(EIA) with Capacitance: 22uF Tol. 20%. Rated Voltage: 16Vdc</t>
  </si>
  <si>
    <t>C12, C16, C25, C29</t>
  </si>
  <si>
    <t>CAPC2012X145N</t>
  </si>
  <si>
    <t>GRM21BC81C226ME44L</t>
  </si>
  <si>
    <t>100uF-50v-polymer</t>
  </si>
  <si>
    <t>C13, C26</t>
  </si>
  <si>
    <t>100nf -0805</t>
  </si>
  <si>
    <t>C14, C15, C27, C28</t>
  </si>
  <si>
    <t>led-red-1206</t>
  </si>
  <si>
    <t>WL-SMRW Mono-color Reverse mount Waterclear, SMT, size 1206 dome, Red, 2V, 20°</t>
  </si>
  <si>
    <t>D1, D4, D5, D6, D7, D8, D9, D10, D11, D12, D13, D14, D15, D16, D17, D18, D19, D20, D21, D22, D23, D24, D25, D26, D27</t>
  </si>
  <si>
    <t>WL-SMRW_1206 dome_normal use</t>
  </si>
  <si>
    <t>156120RS82500</t>
  </si>
  <si>
    <t>1N4007-SMA</t>
  </si>
  <si>
    <t>400W, 30.4V, 5%, Unidirectional, TVS</t>
  </si>
  <si>
    <t>D2, D3, D28, D29</t>
  </si>
  <si>
    <t>DIOM4325X250N</t>
  </si>
  <si>
    <t>SMAJ26A</t>
  </si>
  <si>
    <t>EEPROM1</t>
  </si>
  <si>
    <t>SOIC127P602X172-8N</t>
  </si>
  <si>
    <t>car fuse</t>
  </si>
  <si>
    <t>fuse 1</t>
  </si>
  <si>
    <t>phoenix-5.08mm-2pos</t>
  </si>
  <si>
    <t/>
  </si>
  <si>
    <t>J1, J5, J6, J7, J8, J9, J10, J11, J12</t>
  </si>
  <si>
    <t>PHOENIX_1715721</t>
  </si>
  <si>
    <t>1715721</t>
  </si>
  <si>
    <t>MTSW-104-24-G-S-230</t>
  </si>
  <si>
    <t>J2, J3</t>
  </si>
  <si>
    <t>SAMTEC_MTSW-104-24-G-S-230</t>
  </si>
  <si>
    <t>phoenix-5.08mm-3pos</t>
  </si>
  <si>
    <t>Pluggable Header 5.08mm 12AWG 320V 12A 3 Position COMBICON MSTB Series</t>
  </si>
  <si>
    <t>J4, J13</t>
  </si>
  <si>
    <t>PHOENIX_1759020</t>
  </si>
  <si>
    <t>1759020</t>
  </si>
  <si>
    <t>HDRF3</t>
  </si>
  <si>
    <t>CONN, HEADER, Male, pitch: 2.54mm, 3POS</t>
  </si>
  <si>
    <t>JP?</t>
  </si>
  <si>
    <t>HDRLP_F_1X3</t>
  </si>
  <si>
    <t>RELAY_SPDT</t>
  </si>
  <si>
    <t>Relay, SPDT, 5P, 15.4X12.1mm, 16V/30A</t>
  </si>
  <si>
    <t>K1, K2, K3, K4</t>
  </si>
  <si>
    <t>REL_SPDT_5_1512</t>
  </si>
  <si>
    <t>RELAY_SPDT_5_1512_G8QN</t>
  </si>
  <si>
    <t>phoenix-3.81mm-2pos</t>
  </si>
  <si>
    <t>2 Position Terminal Block Plug, Female Sockets 0.150 (3.81mm) 180Â° Free Hanging (In-Line)</t>
  </si>
  <si>
    <t>P1, P2, P3, P4, P5, P6, P7, P8, P9, P10, P11, P12, P13</t>
  </si>
  <si>
    <t>PHOENIX_1803578</t>
  </si>
  <si>
    <t>1803578</t>
  </si>
  <si>
    <t>2N7002</t>
  </si>
  <si>
    <t>N-Channel 60V 280mA (Ta) 350mW (Ta) Surface Mount SOT-23-3 (TO-236)</t>
  </si>
  <si>
    <t>Q1, Q2, Q3, Q4, Q23, Q24, Q25, Q26, Q27, Q28</t>
  </si>
  <si>
    <t>SOT95P240X111-3N</t>
  </si>
  <si>
    <t>SS8050</t>
  </si>
  <si>
    <t>Bipolar (BJT) Transistor NPN 25 V 1.5 A 100MHz 300 mW Surface Mount SOT-23-3</t>
  </si>
  <si>
    <t>Q5, Q6, Q7, Q8, Q9, Q10, Q11, Q12, Q13, Q14, Q15, Q16, Q17, Q18, Q19, Q20, Q21, Q22, Q29, Q30</t>
  </si>
  <si>
    <t>TRANS_SS8050-G</t>
  </si>
  <si>
    <t>SS8050-G</t>
  </si>
  <si>
    <t>4.7k-1206</t>
  </si>
  <si>
    <t>Res Thin Film 1206 10K Ohm 0.1% 1/8W Â±25ppm/Â°C Molded SMD SMD Paper T/R</t>
  </si>
  <si>
    <t>R1, R4, R5, R8, R9, R10, R11, R16, R17, R18, R19, R20, R21, R30, R31, R32, R33, R34, R35, R36, R37, R46, R47, R48, R49, R50, R51, R52, R53, R54, R55, R56, R57, R58, R69, R70, R81, R82, R93, R94, R105, R106, R107, R108, R109, R110, R115, R116, R117, R118, R119, R120</t>
  </si>
  <si>
    <t>RESC3015X65N</t>
  </si>
  <si>
    <t>CPF1206B10KE1</t>
  </si>
  <si>
    <t>220k-1206</t>
  </si>
  <si>
    <t>R2</t>
  </si>
  <si>
    <t>22k-1206</t>
  </si>
  <si>
    <t>R3</t>
  </si>
  <si>
    <t>4.7k -0805</t>
  </si>
  <si>
    <t>Fixed Resistor CRGCQ 0805 470R 5%</t>
  </si>
  <si>
    <t>R6, R7, R15, R114</t>
  </si>
  <si>
    <t>RESC2012X65N</t>
  </si>
  <si>
    <t>CRGCQ0805J470R</t>
  </si>
  <si>
    <t>0 ohm-0805</t>
  </si>
  <si>
    <t>R12, R13, R111, R112</t>
  </si>
  <si>
    <t>IPROPI1</t>
  </si>
  <si>
    <t>R14, R113</t>
  </si>
  <si>
    <t>300 ohm-1206</t>
  </si>
  <si>
    <t>R22, R23, R24, R25, R26, R27, R28, R29, R38, R39, R40, R41, R42, R43, R44, R45, R67, R68, R79, R80, R91, R92, R103, R104</t>
  </si>
  <si>
    <t>10k-2512</t>
  </si>
  <si>
    <t>18 kOhms Â±5% 1.5W Chip Resistor 2512 (6432 Metric) Pulse Withstanding Thick Film</t>
  </si>
  <si>
    <t>R59, R60, R61, R62, R63, R64, R65, R66, R71, R72, R73, R74, R75, R76, R77, R78, R83, R84, R85, R86, R87, R88, R89, R90, R95, R96, R97, R98, R99, R100, R101, R102</t>
  </si>
  <si>
    <t>RESC6331X70N</t>
  </si>
  <si>
    <t>5-2176246-2</t>
  </si>
  <si>
    <t>RotaryEncoderSwitch</t>
  </si>
  <si>
    <t>SWITCH, ROTARY Encoder, 11mm Metal Shaft</t>
  </si>
  <si>
    <t>SW1</t>
  </si>
  <si>
    <t>SWROT_11MM</t>
  </si>
  <si>
    <t>LF50</t>
  </si>
  <si>
    <t>REG, Linear, LDO0.45V, 0.5A, TO-252</t>
  </si>
  <si>
    <t>U1</t>
  </si>
  <si>
    <t>DPAK_3</t>
  </si>
  <si>
    <t>VREG_LFXX_TO252</t>
  </si>
  <si>
    <t>AMS1117</t>
  </si>
  <si>
    <t>U2</t>
  </si>
  <si>
    <t>VREG_AMS1117_DPACK3</t>
  </si>
  <si>
    <t>STM32G070RBT6</t>
  </si>
  <si>
    <t>ARMÂ® CortexÂ®-M0+ STM32G0 Microcontroller IC 32-Bit Single-Core 64MHz 128KB (128K x 8) FLASH 64-LQFP (10x10)</t>
  </si>
  <si>
    <t>U3</t>
  </si>
  <si>
    <t>QFP50P1200X1200X160-64N</t>
  </si>
  <si>
    <t>DRV8874PWPR</t>
  </si>
  <si>
    <t>40-V, 6-A H-bridge motor driver with integrated current sensing feedback</t>
  </si>
  <si>
    <t>U4, U13</t>
  </si>
  <si>
    <t>SOP65P640X120-17N</t>
  </si>
  <si>
    <t>EL817</t>
  </si>
  <si>
    <t>OPTOCOUPLER, TRANSISTOR, 4PIN</t>
  </si>
  <si>
    <t>U5, U6, U7, U8, U9, U10, U11, U12</t>
  </si>
  <si>
    <t>DIP_4SMD</t>
  </si>
  <si>
    <t>OPTC_TR4P_EL817_SMD</t>
  </si>
  <si>
    <t>8MHZ</t>
  </si>
  <si>
    <t>HC/49US (AT49) LOW PROFILE SURFACE MOUNT MICROPROCESSOR CRYSTAL</t>
  </si>
  <si>
    <t>Y1</t>
  </si>
  <si>
    <t>XTAL_ABLS2-12.000MHZ-D4Y-T</t>
  </si>
  <si>
    <t>ABLS2-12.000MHZ-D4Y-T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</si>
</sst>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C394-73FF-4FC7-BD89-2165489CA2D1}">
  <dimension ref="A1:G37"/>
  <sheetViews>
    <sheetView tabSelected="1" workbookViewId="0">
      <selection activeCell="L13" sqref="L13"/>
    </sheetView>
  </sheetViews>
  <sheetFormatPr defaultRowHeight="15" x14ac:dyDescent="0.25"/>
  <cols>
    <col min="1" max="6" width="19.71093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>
        <v>12</v>
      </c>
    </row>
    <row r="2" spans="1:7" x14ac:dyDescent="0.25">
      <c r="A2" s="2" t="s">
        <v>6</v>
      </c>
      <c r="B2" s="1"/>
      <c r="C2" s="2" t="s">
        <v>7</v>
      </c>
      <c r="D2" s="2" t="s">
        <v>8</v>
      </c>
      <c r="E2" s="2" t="s">
        <v>9</v>
      </c>
      <c r="F2" s="1">
        <v>1</v>
      </c>
      <c r="G2">
        <f>F2*$G$1</f>
        <v>12</v>
      </c>
    </row>
    <row r="3" spans="1:7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3</v>
      </c>
      <c r="G3">
        <f t="shared" ref="G3:G37" si="0">F3*$G$1</f>
        <v>36</v>
      </c>
    </row>
    <row r="4" spans="1:7" s="7" customFormat="1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6">
        <v>1</v>
      </c>
      <c r="G4" s="7">
        <f t="shared" si="0"/>
        <v>12</v>
      </c>
    </row>
    <row r="5" spans="1:7" x14ac:dyDescent="0.25">
      <c r="A5" s="2" t="s">
        <v>20</v>
      </c>
      <c r="B5" s="2" t="s">
        <v>11</v>
      </c>
      <c r="C5" s="2" t="s">
        <v>21</v>
      </c>
      <c r="D5" s="2" t="s">
        <v>13</v>
      </c>
      <c r="E5" s="2" t="s">
        <v>14</v>
      </c>
      <c r="F5" s="1">
        <v>1</v>
      </c>
      <c r="G5">
        <f t="shared" si="0"/>
        <v>12</v>
      </c>
    </row>
    <row r="6" spans="1:7" s="7" customFormat="1" x14ac:dyDescent="0.25">
      <c r="A6" s="5" t="s">
        <v>22</v>
      </c>
      <c r="B6" s="5" t="s">
        <v>16</v>
      </c>
      <c r="C6" s="5" t="s">
        <v>23</v>
      </c>
      <c r="D6" s="5" t="s">
        <v>18</v>
      </c>
      <c r="E6" s="5" t="s">
        <v>19</v>
      </c>
      <c r="F6" s="6">
        <v>2</v>
      </c>
      <c r="G6" s="7">
        <f t="shared" si="0"/>
        <v>24</v>
      </c>
    </row>
    <row r="7" spans="1:7" s="7" customFormat="1" x14ac:dyDescent="0.25">
      <c r="A7" s="5" t="s">
        <v>24</v>
      </c>
      <c r="B7" s="5" t="s">
        <v>16</v>
      </c>
      <c r="C7" s="5" t="s">
        <v>25</v>
      </c>
      <c r="D7" s="5" t="s">
        <v>18</v>
      </c>
      <c r="E7" s="5" t="s">
        <v>19</v>
      </c>
      <c r="F7" s="6">
        <v>12</v>
      </c>
      <c r="G7" s="7">
        <f t="shared" si="0"/>
        <v>144</v>
      </c>
    </row>
    <row r="8" spans="1:7" s="7" customFormat="1" x14ac:dyDescent="0.25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6">
        <v>4</v>
      </c>
      <c r="G8" s="7">
        <f t="shared" si="0"/>
        <v>48</v>
      </c>
    </row>
    <row r="9" spans="1:7" x14ac:dyDescent="0.25">
      <c r="A9" s="2" t="s">
        <v>31</v>
      </c>
      <c r="B9" s="2" t="s">
        <v>11</v>
      </c>
      <c r="C9" s="2" t="s">
        <v>32</v>
      </c>
      <c r="D9" s="2" t="s">
        <v>13</v>
      </c>
      <c r="E9" s="2" t="s">
        <v>14</v>
      </c>
      <c r="F9" s="1">
        <v>2</v>
      </c>
      <c r="G9">
        <f t="shared" si="0"/>
        <v>24</v>
      </c>
    </row>
    <row r="10" spans="1:7" s="7" customFormat="1" x14ac:dyDescent="0.25">
      <c r="A10" s="5" t="s">
        <v>33</v>
      </c>
      <c r="B10" s="5" t="s">
        <v>27</v>
      </c>
      <c r="C10" s="5" t="s">
        <v>34</v>
      </c>
      <c r="D10" s="5" t="s">
        <v>29</v>
      </c>
      <c r="E10" s="5" t="s">
        <v>30</v>
      </c>
      <c r="F10" s="6">
        <v>4</v>
      </c>
      <c r="G10" s="7">
        <f t="shared" si="0"/>
        <v>48</v>
      </c>
    </row>
    <row r="11" spans="1:7" x14ac:dyDescent="0.25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1">
        <v>25</v>
      </c>
      <c r="G11">
        <f t="shared" si="0"/>
        <v>300</v>
      </c>
    </row>
    <row r="12" spans="1:7" x14ac:dyDescent="0.2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1">
        <v>4</v>
      </c>
      <c r="G12">
        <f t="shared" si="0"/>
        <v>48</v>
      </c>
    </row>
    <row r="13" spans="1:7" x14ac:dyDescent="0.25">
      <c r="A13" s="2" t="s">
        <v>9</v>
      </c>
      <c r="B13" s="1"/>
      <c r="C13" s="2" t="s">
        <v>45</v>
      </c>
      <c r="D13" s="2" t="s">
        <v>46</v>
      </c>
      <c r="E13" s="2" t="s">
        <v>9</v>
      </c>
      <c r="F13" s="1">
        <v>1</v>
      </c>
      <c r="G13">
        <f t="shared" si="0"/>
        <v>12</v>
      </c>
    </row>
    <row r="14" spans="1:7" x14ac:dyDescent="0.25">
      <c r="A14" s="2" t="s">
        <v>47</v>
      </c>
      <c r="B14" s="1"/>
      <c r="C14" s="2" t="s">
        <v>48</v>
      </c>
      <c r="D14" s="2" t="s">
        <v>8</v>
      </c>
      <c r="E14" s="2" t="s">
        <v>9</v>
      </c>
      <c r="F14" s="1">
        <v>1</v>
      </c>
      <c r="G14">
        <f t="shared" si="0"/>
        <v>12</v>
      </c>
    </row>
    <row r="15" spans="1:7" x14ac:dyDescent="0.25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53</v>
      </c>
      <c r="F15" s="1">
        <v>9</v>
      </c>
      <c r="G15">
        <f t="shared" si="0"/>
        <v>108</v>
      </c>
    </row>
    <row r="16" spans="1:7" x14ac:dyDescent="0.25">
      <c r="A16" s="2" t="s">
        <v>54</v>
      </c>
      <c r="B16" s="2" t="s">
        <v>50</v>
      </c>
      <c r="C16" s="2" t="s">
        <v>55</v>
      </c>
      <c r="D16" s="2" t="s">
        <v>56</v>
      </c>
      <c r="E16" s="2" t="s">
        <v>54</v>
      </c>
      <c r="F16" s="1">
        <v>2</v>
      </c>
      <c r="G16">
        <f t="shared" si="0"/>
        <v>24</v>
      </c>
    </row>
    <row r="17" spans="1:7" x14ac:dyDescent="0.25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61</v>
      </c>
      <c r="F17" s="1">
        <v>2</v>
      </c>
      <c r="G17">
        <f t="shared" si="0"/>
        <v>24</v>
      </c>
    </row>
    <row r="18" spans="1:7" x14ac:dyDescent="0.25">
      <c r="A18" s="2" t="s">
        <v>62</v>
      </c>
      <c r="B18" s="2" t="s">
        <v>63</v>
      </c>
      <c r="C18" s="2" t="s">
        <v>64</v>
      </c>
      <c r="D18" s="2" t="s">
        <v>65</v>
      </c>
      <c r="E18" s="2" t="s">
        <v>65</v>
      </c>
      <c r="F18" s="1">
        <v>4</v>
      </c>
      <c r="G18">
        <f t="shared" si="0"/>
        <v>48</v>
      </c>
    </row>
    <row r="19" spans="1:7" x14ac:dyDescent="0.25">
      <c r="A19" s="2" t="s">
        <v>66</v>
      </c>
      <c r="B19" s="2" t="s">
        <v>67</v>
      </c>
      <c r="C19" s="2" t="s">
        <v>68</v>
      </c>
      <c r="D19" s="2" t="s">
        <v>69</v>
      </c>
      <c r="E19" s="2" t="s">
        <v>70</v>
      </c>
      <c r="F19" s="1">
        <v>4</v>
      </c>
      <c r="G19">
        <f t="shared" si="0"/>
        <v>48</v>
      </c>
    </row>
    <row r="20" spans="1:7" x14ac:dyDescent="0.25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1">
        <v>13</v>
      </c>
      <c r="G20">
        <f t="shared" si="0"/>
        <v>156</v>
      </c>
    </row>
    <row r="21" spans="1:7" x14ac:dyDescent="0.25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76</v>
      </c>
      <c r="F21" s="1">
        <v>10</v>
      </c>
      <c r="G21">
        <f t="shared" si="0"/>
        <v>120</v>
      </c>
    </row>
    <row r="22" spans="1:7" ht="11.25" customHeight="1" x14ac:dyDescent="0.2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84</v>
      </c>
      <c r="F22" s="1">
        <v>20</v>
      </c>
      <c r="G22">
        <f t="shared" si="0"/>
        <v>240</v>
      </c>
    </row>
    <row r="23" spans="1:7" s="7" customFormat="1" x14ac:dyDescent="0.25">
      <c r="A23" s="5" t="s">
        <v>85</v>
      </c>
      <c r="B23" s="5" t="s">
        <v>86</v>
      </c>
      <c r="C23" s="5" t="s">
        <v>87</v>
      </c>
      <c r="D23" s="5" t="s">
        <v>88</v>
      </c>
      <c r="E23" s="5" t="s">
        <v>89</v>
      </c>
      <c r="F23" s="6">
        <v>52</v>
      </c>
      <c r="G23" s="7">
        <f t="shared" si="0"/>
        <v>624</v>
      </c>
    </row>
    <row r="24" spans="1:7" s="7" customFormat="1" x14ac:dyDescent="0.25">
      <c r="A24" s="5" t="s">
        <v>90</v>
      </c>
      <c r="B24" s="5" t="s">
        <v>86</v>
      </c>
      <c r="C24" s="5" t="s">
        <v>91</v>
      </c>
      <c r="D24" s="5" t="s">
        <v>88</v>
      </c>
      <c r="E24" s="5" t="s">
        <v>89</v>
      </c>
      <c r="F24" s="6">
        <v>1</v>
      </c>
      <c r="G24" s="7">
        <f t="shared" si="0"/>
        <v>12</v>
      </c>
    </row>
    <row r="25" spans="1:7" s="7" customFormat="1" x14ac:dyDescent="0.25">
      <c r="A25" s="5" t="s">
        <v>92</v>
      </c>
      <c r="B25" s="5" t="s">
        <v>86</v>
      </c>
      <c r="C25" s="5" t="s">
        <v>93</v>
      </c>
      <c r="D25" s="5" t="s">
        <v>88</v>
      </c>
      <c r="E25" s="5" t="s">
        <v>89</v>
      </c>
      <c r="F25" s="6">
        <v>1</v>
      </c>
      <c r="G25" s="7">
        <f t="shared" si="0"/>
        <v>12</v>
      </c>
    </row>
    <row r="26" spans="1:7" s="7" customFormat="1" x14ac:dyDescent="0.25">
      <c r="A26" s="5" t="s">
        <v>94</v>
      </c>
      <c r="B26" s="5" t="s">
        <v>95</v>
      </c>
      <c r="C26" s="5" t="s">
        <v>96</v>
      </c>
      <c r="D26" s="5" t="s">
        <v>97</v>
      </c>
      <c r="E26" s="5" t="s">
        <v>98</v>
      </c>
      <c r="F26" s="6">
        <v>4</v>
      </c>
      <c r="G26" s="7">
        <f t="shared" si="0"/>
        <v>48</v>
      </c>
    </row>
    <row r="27" spans="1:7" s="7" customFormat="1" x14ac:dyDescent="0.25">
      <c r="A27" s="5" t="s">
        <v>99</v>
      </c>
      <c r="B27" s="5" t="s">
        <v>95</v>
      </c>
      <c r="C27" s="5" t="s">
        <v>100</v>
      </c>
      <c r="D27" s="5" t="s">
        <v>97</v>
      </c>
      <c r="E27" s="5" t="s">
        <v>98</v>
      </c>
      <c r="F27" s="6">
        <v>4</v>
      </c>
      <c r="G27" s="7">
        <f t="shared" si="0"/>
        <v>48</v>
      </c>
    </row>
    <row r="28" spans="1:7" s="7" customFormat="1" x14ac:dyDescent="0.25">
      <c r="A28" s="5" t="s">
        <v>101</v>
      </c>
      <c r="B28" s="5" t="s">
        <v>95</v>
      </c>
      <c r="C28" s="5" t="s">
        <v>102</v>
      </c>
      <c r="D28" s="5" t="s">
        <v>97</v>
      </c>
      <c r="E28" s="5" t="s">
        <v>98</v>
      </c>
      <c r="F28" s="6">
        <v>2</v>
      </c>
      <c r="G28" s="7">
        <f t="shared" si="0"/>
        <v>24</v>
      </c>
    </row>
    <row r="29" spans="1:7" s="7" customFormat="1" x14ac:dyDescent="0.25">
      <c r="A29" s="5" t="s">
        <v>103</v>
      </c>
      <c r="B29" s="5" t="s">
        <v>86</v>
      </c>
      <c r="C29" s="5" t="s">
        <v>104</v>
      </c>
      <c r="D29" s="5" t="s">
        <v>88</v>
      </c>
      <c r="E29" s="5" t="s">
        <v>89</v>
      </c>
      <c r="F29" s="6">
        <v>24</v>
      </c>
      <c r="G29" s="7">
        <f t="shared" si="0"/>
        <v>288</v>
      </c>
    </row>
    <row r="30" spans="1:7" x14ac:dyDescent="0.25">
      <c r="A30" s="2" t="s">
        <v>105</v>
      </c>
      <c r="B30" s="2" t="s">
        <v>106</v>
      </c>
      <c r="C30" s="2" t="s">
        <v>107</v>
      </c>
      <c r="D30" s="2" t="s">
        <v>108</v>
      </c>
      <c r="E30" s="2" t="s">
        <v>109</v>
      </c>
      <c r="F30" s="1">
        <v>32</v>
      </c>
      <c r="G30">
        <f t="shared" si="0"/>
        <v>384</v>
      </c>
    </row>
    <row r="31" spans="1:7" x14ac:dyDescent="0.25">
      <c r="A31" s="2" t="s">
        <v>110</v>
      </c>
      <c r="B31" s="2" t="s">
        <v>111</v>
      </c>
      <c r="C31" s="2" t="s">
        <v>112</v>
      </c>
      <c r="D31" s="2" t="s">
        <v>113</v>
      </c>
      <c r="E31" s="2" t="s">
        <v>113</v>
      </c>
      <c r="F31" s="1">
        <v>1</v>
      </c>
      <c r="G31">
        <f t="shared" si="0"/>
        <v>12</v>
      </c>
    </row>
    <row r="32" spans="1:7" x14ac:dyDescent="0.25">
      <c r="A32" s="2" t="s">
        <v>114</v>
      </c>
      <c r="B32" s="2" t="s">
        <v>115</v>
      </c>
      <c r="C32" s="2" t="s">
        <v>116</v>
      </c>
      <c r="D32" s="2" t="s">
        <v>117</v>
      </c>
      <c r="E32" s="2" t="s">
        <v>118</v>
      </c>
      <c r="F32" s="1">
        <v>1</v>
      </c>
      <c r="G32">
        <f t="shared" si="0"/>
        <v>12</v>
      </c>
    </row>
    <row r="33" spans="1:7" x14ac:dyDescent="0.25">
      <c r="A33" s="2" t="s">
        <v>119</v>
      </c>
      <c r="B33" s="1"/>
      <c r="C33" s="2" t="s">
        <v>120</v>
      </c>
      <c r="D33" s="2" t="s">
        <v>117</v>
      </c>
      <c r="E33" s="2" t="s">
        <v>121</v>
      </c>
      <c r="F33" s="1">
        <v>1</v>
      </c>
      <c r="G33">
        <f t="shared" si="0"/>
        <v>12</v>
      </c>
    </row>
    <row r="34" spans="1:7" x14ac:dyDescent="0.25">
      <c r="A34" s="2" t="s">
        <v>122</v>
      </c>
      <c r="B34" s="2" t="s">
        <v>123</v>
      </c>
      <c r="C34" s="2" t="s">
        <v>124</v>
      </c>
      <c r="D34" s="2" t="s">
        <v>125</v>
      </c>
      <c r="E34" s="2" t="s">
        <v>122</v>
      </c>
      <c r="F34" s="1">
        <v>1</v>
      </c>
      <c r="G34">
        <f t="shared" si="0"/>
        <v>12</v>
      </c>
    </row>
    <row r="35" spans="1:7" x14ac:dyDescent="0.25">
      <c r="A35" s="2" t="s">
        <v>126</v>
      </c>
      <c r="B35" s="2" t="s">
        <v>127</v>
      </c>
      <c r="C35" s="2" t="s">
        <v>128</v>
      </c>
      <c r="D35" s="2" t="s">
        <v>129</v>
      </c>
      <c r="E35" s="2" t="s">
        <v>126</v>
      </c>
      <c r="F35" s="1">
        <v>2</v>
      </c>
      <c r="G35">
        <f t="shared" si="0"/>
        <v>24</v>
      </c>
    </row>
    <row r="36" spans="1:7" x14ac:dyDescent="0.25">
      <c r="A36" s="2" t="s">
        <v>130</v>
      </c>
      <c r="B36" s="2" t="s">
        <v>131</v>
      </c>
      <c r="C36" s="2" t="s">
        <v>132</v>
      </c>
      <c r="D36" s="2" t="s">
        <v>133</v>
      </c>
      <c r="E36" s="2" t="s">
        <v>134</v>
      </c>
      <c r="F36" s="1">
        <v>8</v>
      </c>
      <c r="G36">
        <f t="shared" si="0"/>
        <v>96</v>
      </c>
    </row>
    <row r="37" spans="1:7" x14ac:dyDescent="0.25">
      <c r="A37" s="2" t="s">
        <v>135</v>
      </c>
      <c r="B37" s="2" t="s">
        <v>136</v>
      </c>
      <c r="C37" s="2" t="s">
        <v>137</v>
      </c>
      <c r="D37" s="2" t="s">
        <v>138</v>
      </c>
      <c r="E37" s="2" t="s">
        <v>139</v>
      </c>
      <c r="F37" s="1">
        <v>1</v>
      </c>
      <c r="G37">
        <f t="shared" si="0"/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RMRC V0.2</vt:lpstr>
      <vt:lpstr>'RMRC V0.2'!Print_Titles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Prophet</dc:creator>
  <cp:lastModifiedBy>Prophet</cp:lastModifiedBy>
  <dcterms:created xsi:type="dcterms:W3CDTF">2026-05-03T11:44:41Z</dcterms:created>
  <dcterms:modified xsi:type="dcterms:W3CDTF">2026-05-03T11:47:29Z</dcterms:modified>
</cp:coreProperties>
</file>