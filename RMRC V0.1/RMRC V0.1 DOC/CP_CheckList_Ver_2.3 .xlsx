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rophet\Desktop\RMRC V0.1\RMRC V0.1 DOC\"/>
    </mc:Choice>
  </mc:AlternateContent>
  <xr:revisionPtr revIDLastSave="0" documentId="13_ncr:1_{EF0A0369-6DAD-4B93-B211-C278F5A0D07A}" xr6:coauthVersionLast="47" xr6:coauthVersionMax="47" xr10:uidLastSave="{00000000-0000-0000-0000-000000000000}"/>
  <bookViews>
    <workbookView showHorizontalScroll="0" showVerticalScroll="0" showSheetTabs="0" xWindow="-14505" yWindow="0" windowWidth="14610" windowHeight="15585" xr2:uid="{00000000-000D-0000-FFFF-FFFF00000000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4" i="2" l="1"/>
  <c r="W13" i="2"/>
  <c r="W12" i="2"/>
  <c r="W18" i="2" l="1"/>
  <c r="W17" i="2"/>
  <c r="W16" i="2"/>
  <c r="W15" i="2"/>
  <c r="W11" i="2"/>
  <c r="W10" i="2"/>
  <c r="W9" i="2"/>
  <c r="W8" i="2"/>
  <c r="W7" i="2"/>
  <c r="W19" i="2" l="1"/>
  <c r="Q8" i="2" l="1"/>
  <c r="Q9" i="2" s="1"/>
  <c r="Q10" i="2" s="1"/>
  <c r="Q11" i="2" s="1"/>
  <c r="Q15" i="2" s="1"/>
  <c r="Q16" i="2" s="1"/>
  <c r="Q17" i="2" s="1"/>
  <c r="C5" i="2"/>
  <c r="C6" i="2" s="1"/>
  <c r="C7" i="2" s="1"/>
  <c r="C8" i="2" s="1"/>
  <c r="C9" i="2" s="1"/>
  <c r="C10" i="2" s="1"/>
  <c r="C11" i="2" s="1"/>
  <c r="C15" i="2" s="1"/>
  <c r="C16" i="2" s="1"/>
  <c r="C17" i="2" s="1"/>
  <c r="C18" i="2" s="1"/>
  <c r="C19" i="2" s="1"/>
  <c r="C20" i="2" s="1"/>
  <c r="C21" i="2" s="1"/>
  <c r="C22" i="2" s="1"/>
  <c r="C23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</author>
    <author>windows</author>
  </authors>
  <commentList>
    <comment ref="N2" authorId="0" shapeId="0" xr:uid="{00000000-0006-0000-0000-000001000000}">
      <text>
        <r>
          <rPr>
            <b/>
            <sz val="11"/>
            <color indexed="81"/>
            <rFont val="Tahoma"/>
            <family val="2"/>
          </rPr>
          <t>در کادر مقابل، موارد گفته شده را بدقت رعایت کرده و گزینه مربوطه را تیک بزنید</t>
        </r>
      </text>
    </comment>
    <comment ref="U3" authorId="1" shapeId="0" xr:uid="{00000000-0006-0000-0000-000002000000}">
      <text>
        <r>
          <rPr>
            <b/>
            <sz val="10"/>
            <color indexed="81"/>
            <rFont val="Tahoma"/>
            <family val="2"/>
          </rPr>
          <t>دقت کنید که فایل های پنل شده با دو چاپ سولدر و دو چاپ مارکاژ انجام میشود. قیمت هم بر همین اساس درج شده است</t>
        </r>
      </text>
    </comment>
    <comment ref="W19" authorId="0" shapeId="0" xr:uid="{00000000-0006-0000-0000-000003000000}">
      <text>
        <r>
          <rPr>
            <b/>
            <sz val="11"/>
            <color indexed="81"/>
            <rFont val="Tahoma"/>
            <family val="2"/>
          </rPr>
          <t xml:space="preserve">درصورتیکه ابعاد به درستی وارد شده باشد، معادل مبلغ "جمع کل" را، میتوانید به یکی از شماره کارت های روبرو واریز کرده و فیش واریزی را به آی دی بله S_Yazdaan@ ارسال فرمایید. </t>
        </r>
      </text>
    </comment>
    <comment ref="E28" authorId="0" shapeId="0" xr:uid="{00000000-0006-0000-0000-000004000000}">
      <text>
        <r>
          <rPr>
            <b/>
            <sz val="11"/>
            <color indexed="81"/>
            <rFont val="Tahoma"/>
            <family val="2"/>
          </rPr>
          <t>در جدول زیر، طبق فرمت خواسته شده، موارد را تکمیل نمایید</t>
        </r>
      </text>
    </comment>
  </commentList>
</comments>
</file>

<file path=xl/sharedStrings.xml><?xml version="1.0" encoding="utf-8"?>
<sst xmlns="http://schemas.openxmlformats.org/spreadsheetml/2006/main" count="67" uniqueCount="66">
  <si>
    <t>ردیف</t>
  </si>
  <si>
    <t>وضعیت</t>
  </si>
  <si>
    <t>مشخصات فایل های ارسالی</t>
  </si>
  <si>
    <t xml:space="preserve">طول </t>
  </si>
  <si>
    <t>عرض</t>
  </si>
  <si>
    <t>تعداد سفارش</t>
  </si>
  <si>
    <t>تومان</t>
  </si>
  <si>
    <t>قیمت حدودی</t>
  </si>
  <si>
    <t>( تومان )</t>
  </si>
  <si>
    <t>مشخصات سفارش دهنده</t>
  </si>
  <si>
    <t>6037-6977-0526-0419</t>
  </si>
  <si>
    <t>بنام عباس احمدی‌زاده نزد بانک صادرات</t>
  </si>
  <si>
    <t>آدرس :</t>
  </si>
  <si>
    <t>قیمت هرسانت مربع :</t>
  </si>
  <si>
    <t>نام و شماره موبایل :</t>
  </si>
  <si>
    <t>استان و شهر :</t>
  </si>
  <si>
    <r>
      <t xml:space="preserve">ابعاد </t>
    </r>
    <r>
      <rPr>
        <b/>
        <sz val="10"/>
        <color theme="1"/>
        <rFont val="Calibri"/>
        <family val="2"/>
      </rPr>
      <t>( mm )</t>
    </r>
  </si>
  <si>
    <r>
      <t xml:space="preserve">جمع کل </t>
    </r>
    <r>
      <rPr>
        <sz val="11"/>
        <color theme="1"/>
        <rFont val="Calibri"/>
        <family val="2"/>
      </rPr>
      <t>تومان</t>
    </r>
  </si>
  <si>
    <t>حداقل سایز</t>
  </si>
  <si>
    <t xml:space="preserve">کد پستی </t>
  </si>
  <si>
    <t>چک لیست سفارش مدارچاپی     CheapProject</t>
  </si>
  <si>
    <t xml:space="preserve">پلاک </t>
  </si>
  <si>
    <t xml:space="preserve">طبقه </t>
  </si>
  <si>
    <t xml:space="preserve">واحد </t>
  </si>
  <si>
    <t>به نکات زیر کمی زیادی توجه بفرمایید :</t>
  </si>
  <si>
    <t xml:space="preserve">من بعنوان سفارش‌دهنده همه موارد را خوانده و در فایلهای خود، عمل کرده و تیک زده‌ام </t>
  </si>
  <si>
    <t>به ترتیب اولویت، از بالا به پایین</t>
  </si>
  <si>
    <t>09XX</t>
  </si>
  <si>
    <t>XXX</t>
  </si>
  <si>
    <t>XXXX</t>
  </si>
  <si>
    <t>حسنی تک و تنها بود</t>
  </si>
  <si>
    <t>شهر شلمرود</t>
  </si>
  <si>
    <t>استان ناکجاآباد</t>
  </si>
  <si>
    <t>@ُShalamRoud</t>
  </si>
  <si>
    <t>FileName_1.PcbDoc</t>
  </si>
  <si>
    <t>FileName_2.PcbDoc</t>
  </si>
  <si>
    <t>آی دی بله :</t>
  </si>
  <si>
    <t>Order@CheapPCB.ir</t>
  </si>
  <si>
    <t>لیلا مظاهری کلهرودی</t>
  </si>
  <si>
    <t>6362-1418-1203-8975</t>
  </si>
  <si>
    <t>نزد بانک آینده ( ملی )</t>
  </si>
  <si>
    <t>IR630620000000101881310003</t>
  </si>
  <si>
    <t xml:space="preserve"> حداقل پهنا یا   bridge   مربوط به چاپ محافظ 0.2mm  است</t>
  </si>
  <si>
    <t xml:space="preserve"> بیرون زدگی های مارکاژ از محدوده برد حذف شده است</t>
  </si>
  <si>
    <t xml:space="preserve"> چاپ راهنما ( مارکاژ ) با نقاطی که چاپ محافظ ( سبز ) ندارد، همپوشانی ندارد</t>
  </si>
  <si>
    <t xml:space="preserve"> زوایای حاده ( sliver ) در لایه‌های رسانا ندارم</t>
  </si>
  <si>
    <t xml:space="preserve"> برش‌های دور برد، در KeepOut layer  و با خطوط 0.2mm رسم شده‌اند</t>
  </si>
  <si>
    <t xml:space="preserve"> حداقل فاصله مس از سوراخ 0.5mm است ( منظور سوراخ غیر از Via و Pad است )</t>
  </si>
  <si>
    <t xml:space="preserve"> حداقل فاصله مس از لبه برد   0.5mm   است</t>
  </si>
  <si>
    <t xml:space="preserve"> حداقل پهنای رسانا  0.254mm  است و ترک زیر 0.254mm ندارم ( 10mil )</t>
  </si>
  <si>
    <t xml:space="preserve"> حداقل سوراخکاری  0.5mm  را برای Padها و Viaها رعایت کرده‌ام</t>
  </si>
  <si>
    <t xml:space="preserve"> حداقل فاصله رساناها از هم ( کیلیرنس ) 0.4mm  است و این را در سفارشم رعایت کرده‌ام</t>
  </si>
  <si>
    <t xml:space="preserve"> پلیگان ها طبق دستور العمل و با کیلیرنس حداقل 0.4mm  تنظیم شده است</t>
  </si>
  <si>
    <t xml:space="preserve"> حداقل فاصله لبه سوراخ ها از هم   0.8mm   است</t>
  </si>
  <si>
    <t xml:space="preserve"> حداقل عرض برش های داخلی  1.2mm و در KeepOut layer مشخص شده است</t>
  </si>
  <si>
    <t xml:space="preserve"> سوراخکاری بشکل شکاف ( slot ) ندارم و بجای آن سوراخهای 1mm مکرر کنار هم دارم</t>
  </si>
  <si>
    <t xml:space="preserve"> حداقل   Annular Ring  را برابر با   0.2mm  در سفارشم تنظیم کرده ام </t>
  </si>
  <si>
    <t xml:space="preserve"> با احتساب دو مورد بالا، حداقل قطر وایا  0.9mm  را رعایت کرده ام </t>
  </si>
  <si>
    <t xml:space="preserve"> میدانم که بدلیل پنل شدن فایلها TearDrop ها، همگی از بین میروند. </t>
  </si>
  <si>
    <t>هزینه پیک جمعی و بسته بندی ( هزینه ارسال نیست )</t>
  </si>
  <si>
    <t>جدول زیر را تغییر ندهید</t>
  </si>
  <si>
    <t xml:space="preserve">  1 - ارسال ( ایمیل ) این فایل و فایلهای همراه، بمنزله تایید همه موارد یاد شده در جدول بالا ( چک لیست سفارش ) و رعایت دقیق آنهاست ( چه تیک بخورد و چه نخورد ). بنابراین مسئولیت عدم رعایت نکات یاد شده که منجر به ساخت PCB معیوب شود، برعهده خود شماست. </t>
  </si>
  <si>
    <t xml:space="preserve">  2 - در اکثر موارد، مبنا بر اینست که پس از تذکر اصلاح احتمالی محتوای فایلها، موارد کاملاً از طرف شما تصحیح شده و مجدد ارسال ( در بله ) گردد. دقت شود که اسامی فایلها تغییر نکند. در صورت عدم تصحیح، مسئولیت این اقدام کاملا با خود شماست.  </t>
  </si>
  <si>
    <t xml:space="preserve">  3 - قیمت کل در جدول بالا، معادل قیمت نهایی است. بشرطیکه ابعاد سفارش خود را، به دقت وارد فرمایید. </t>
  </si>
  <si>
    <t xml:space="preserve">  4 - اگر بعد از تاریخ و ساعت اعلامی، بردی ارسال شود، واریز هزینه این برد، هیچ تعهدی جهت ساخت برای ما، ایجاد نمیکند.</t>
  </si>
  <si>
    <r>
      <t xml:space="preserve">اسم فایل </t>
    </r>
    <r>
      <rPr>
        <b/>
        <sz val="11"/>
        <color theme="1"/>
        <rFont val="Calibri"/>
        <family val="2"/>
      </rPr>
      <t>( در ردیفها، اسامی فایلهای PCB ی که در فایل ZIP شده وجود دارد را مرقوم بفرمایید 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</si>
</sst>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20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4"/>
      <color theme="1"/>
      <name val="Calibri"/>
      <family val="2"/>
    </font>
    <font>
      <b/>
      <sz val="14"/>
      <color theme="1"/>
      <name val="Calibri"/>
      <family val="2"/>
    </font>
    <font>
      <u/>
      <sz val="14"/>
      <color theme="10"/>
      <name val="Calibri"/>
      <family val="2"/>
    </font>
    <font>
      <b/>
      <sz val="14"/>
      <color rgb="FFC00000"/>
      <name val="Calibri"/>
      <family val="2"/>
    </font>
    <font>
      <sz val="11"/>
      <color theme="1"/>
      <name val="Calibri"/>
      <family val="2"/>
    </font>
    <font>
      <b/>
      <sz val="10"/>
      <color theme="1"/>
      <name val="Calibri"/>
      <family val="2"/>
    </font>
    <font>
      <b/>
      <sz val="20"/>
      <color rgb="FFC00000"/>
      <name val="Calibri"/>
      <family val="2"/>
    </font>
    <font>
      <b/>
      <sz val="13"/>
      <color theme="1"/>
      <name val="Calibri"/>
      <family val="2"/>
    </font>
    <font>
      <b/>
      <sz val="14"/>
      <color theme="0"/>
      <name val="Calibri"/>
      <family val="2"/>
    </font>
    <font>
      <b/>
      <sz val="18"/>
      <color theme="1"/>
      <name val="Calibri"/>
      <family val="2"/>
    </font>
    <font>
      <b/>
      <sz val="11"/>
      <color indexed="81"/>
      <name val="Tahoma"/>
      <family val="2"/>
    </font>
    <font>
      <b/>
      <sz val="16"/>
      <color rgb="FF480000"/>
      <name val="Calibri"/>
      <family val="2"/>
    </font>
    <font>
      <b/>
      <sz val="20"/>
      <color theme="1"/>
      <name val="Calibri"/>
      <family val="2"/>
    </font>
    <font>
      <b/>
      <u/>
      <sz val="14"/>
      <color theme="10"/>
      <name val="Calibri"/>
      <family val="2"/>
      <scheme val="minor"/>
    </font>
    <font>
      <b/>
      <sz val="10"/>
      <color indexed="81"/>
      <name val="Tahoma"/>
      <family val="2"/>
    </font>
    <font>
      <b/>
      <sz val="16"/>
      <color rgb="FFFF0000"/>
      <name val="Calibri"/>
      <family val="2"/>
    </font>
    <font>
      <b/>
      <sz val="12"/>
      <color theme="1"/>
      <name val="Calibri"/>
      <family val="2"/>
    </font>
    <font>
      <b/>
      <sz val="11"/>
      <color theme="1"/>
      <name val="Calibri"/>
      <family val="2"/>
    </font>
  </fonts>
  <fills count="30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40000"/>
        <bgColor indexed="64"/>
      </patternFill>
    </fill>
    <fill>
      <patternFill patternType="solid">
        <fgColor rgb="FFA00000"/>
        <bgColor indexed="64"/>
      </patternFill>
    </fill>
    <fill>
      <patternFill patternType="solid">
        <fgColor rgb="FF640000"/>
        <bgColor indexed="64"/>
      </patternFill>
    </fill>
    <fill>
      <patternFill patternType="solid">
        <fgColor rgb="FF8C0000"/>
        <bgColor indexed="64"/>
      </patternFill>
    </fill>
    <fill>
      <patternFill patternType="solid">
        <fgColor rgb="FF780000"/>
        <bgColor indexed="64"/>
      </patternFill>
    </fill>
    <fill>
      <patternFill patternType="solid">
        <fgColor rgb="FFC80000"/>
        <bgColor indexed="64"/>
      </patternFill>
    </fill>
    <fill>
      <patternFill patternType="solid">
        <fgColor rgb="FFDC0000"/>
        <bgColor indexed="64"/>
      </patternFill>
    </fill>
    <fill>
      <patternFill patternType="solid">
        <fgColor rgb="FFF0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1414"/>
        <bgColor indexed="64"/>
      </patternFill>
    </fill>
    <fill>
      <patternFill patternType="solid">
        <fgColor rgb="FFFF2828"/>
        <bgColor indexed="64"/>
      </patternFill>
    </fill>
    <fill>
      <patternFill patternType="solid">
        <fgColor rgb="FFFF3C3C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rgb="FFFF6464"/>
        <bgColor indexed="64"/>
      </patternFill>
    </fill>
    <fill>
      <patternFill patternType="solid">
        <fgColor rgb="FFFF7878"/>
        <bgColor indexed="64"/>
      </patternFill>
    </fill>
    <fill>
      <patternFill patternType="solid">
        <fgColor rgb="FFFF8C8C"/>
        <bgColor indexed="64"/>
      </patternFill>
    </fill>
    <fill>
      <patternFill patternType="solid">
        <fgColor rgb="FFFFA0A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33">
    <xf numFmtId="0" fontId="0" fillId="0" borderId="0" xfId="0"/>
    <xf numFmtId="0" fontId="3" fillId="0" borderId="0" xfId="0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4" fillId="0" borderId="0" xfId="1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2" fillId="3" borderId="2" xfId="0" applyFont="1" applyFill="1" applyBorder="1" applyAlignment="1">
      <alignment horizontal="center" vertical="center"/>
    </xf>
    <xf numFmtId="0" fontId="2" fillId="0" borderId="29" xfId="0" applyFont="1" applyBorder="1" applyAlignment="1">
      <alignment vertical="center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right" vertical="center"/>
    </xf>
    <xf numFmtId="0" fontId="3" fillId="6" borderId="30" xfId="0" applyFont="1" applyFill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right" vertical="center"/>
    </xf>
    <xf numFmtId="0" fontId="2" fillId="0" borderId="35" xfId="0" applyFont="1" applyBorder="1" applyAlignment="1">
      <alignment horizontal="center" vertical="center" wrapText="1"/>
    </xf>
    <xf numFmtId="0" fontId="3" fillId="6" borderId="0" xfId="0" applyFont="1" applyFill="1" applyAlignment="1">
      <alignment horizontal="center" vertical="center"/>
    </xf>
    <xf numFmtId="0" fontId="2" fillId="0" borderId="33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10" borderId="23" xfId="0" applyFont="1" applyFill="1" applyBorder="1" applyAlignment="1">
      <alignment horizontal="center"/>
    </xf>
    <xf numFmtId="0" fontId="3" fillId="10" borderId="25" xfId="0" applyFont="1" applyFill="1" applyBorder="1" applyAlignment="1">
      <alignment horizontal="center"/>
    </xf>
    <xf numFmtId="0" fontId="10" fillId="11" borderId="8" xfId="0" applyFont="1" applyFill="1" applyBorder="1" applyAlignment="1">
      <alignment horizontal="center" vertical="center"/>
    </xf>
    <xf numFmtId="0" fontId="10" fillId="12" borderId="8" xfId="0" applyFont="1" applyFill="1" applyBorder="1" applyAlignment="1">
      <alignment horizontal="center" vertical="center"/>
    </xf>
    <xf numFmtId="0" fontId="10" fillId="13" borderId="3" xfId="0" applyFont="1" applyFill="1" applyBorder="1" applyAlignment="1">
      <alignment horizontal="center" vertical="center"/>
    </xf>
    <xf numFmtId="0" fontId="10" fillId="14" borderId="8" xfId="0" applyFont="1" applyFill="1" applyBorder="1" applyAlignment="1">
      <alignment horizontal="center" vertical="center"/>
    </xf>
    <xf numFmtId="0" fontId="10" fillId="15" borderId="8" xfId="0" applyFont="1" applyFill="1" applyBorder="1" applyAlignment="1">
      <alignment horizontal="center" vertical="center"/>
    </xf>
    <xf numFmtId="0" fontId="10" fillId="16" borderId="8" xfId="0" applyFont="1" applyFill="1" applyBorder="1" applyAlignment="1">
      <alignment horizontal="center" vertical="center"/>
    </xf>
    <xf numFmtId="0" fontId="10" fillId="17" borderId="8" xfId="0" applyFont="1" applyFill="1" applyBorder="1" applyAlignment="1">
      <alignment horizontal="center" vertical="center"/>
    </xf>
    <xf numFmtId="0" fontId="10" fillId="18" borderId="8" xfId="0" applyFont="1" applyFill="1" applyBorder="1" applyAlignment="1">
      <alignment horizontal="center" vertical="center"/>
    </xf>
    <xf numFmtId="0" fontId="10" fillId="19" borderId="8" xfId="0" applyFont="1" applyFill="1" applyBorder="1" applyAlignment="1">
      <alignment horizontal="center" vertical="center"/>
    </xf>
    <xf numFmtId="0" fontId="10" fillId="20" borderId="8" xfId="0" applyFont="1" applyFill="1" applyBorder="1" applyAlignment="1">
      <alignment horizontal="center" vertical="center"/>
    </xf>
    <xf numFmtId="0" fontId="10" fillId="21" borderId="8" xfId="0" applyFont="1" applyFill="1" applyBorder="1" applyAlignment="1">
      <alignment horizontal="center" vertical="center"/>
    </xf>
    <xf numFmtId="0" fontId="10" fillId="22" borderId="8" xfId="0" applyFont="1" applyFill="1" applyBorder="1" applyAlignment="1">
      <alignment horizontal="center" vertical="center"/>
    </xf>
    <xf numFmtId="0" fontId="10" fillId="23" borderId="8" xfId="0" applyFont="1" applyFill="1" applyBorder="1" applyAlignment="1">
      <alignment horizontal="center" vertical="center"/>
    </xf>
    <xf numFmtId="0" fontId="10" fillId="24" borderId="8" xfId="0" applyFont="1" applyFill="1" applyBorder="1" applyAlignment="1">
      <alignment horizontal="center" vertical="center"/>
    </xf>
    <xf numFmtId="0" fontId="10" fillId="25" borderId="8" xfId="0" applyFont="1" applyFill="1" applyBorder="1" applyAlignment="1">
      <alignment horizontal="center" vertical="center"/>
    </xf>
    <xf numFmtId="0" fontId="10" fillId="26" borderId="8" xfId="0" applyFont="1" applyFill="1" applyBorder="1" applyAlignment="1">
      <alignment horizontal="center" vertical="center"/>
    </xf>
    <xf numFmtId="0" fontId="10" fillId="27" borderId="8" xfId="0" applyFont="1" applyFill="1" applyBorder="1" applyAlignment="1">
      <alignment horizontal="center" vertical="center"/>
    </xf>
    <xf numFmtId="3" fontId="2" fillId="0" borderId="0" xfId="0" applyNumberFormat="1" applyFont="1"/>
    <xf numFmtId="3" fontId="2" fillId="0" borderId="0" xfId="0" applyNumberFormat="1" applyFont="1" applyAlignment="1">
      <alignment horizontal="center" vertical="center"/>
    </xf>
    <xf numFmtId="4" fontId="2" fillId="0" borderId="0" xfId="0" applyNumberFormat="1" applyFont="1"/>
    <xf numFmtId="164" fontId="2" fillId="0" borderId="0" xfId="0" applyNumberFormat="1" applyFont="1"/>
    <xf numFmtId="49" fontId="2" fillId="0" borderId="1" xfId="0" applyNumberFormat="1" applyFont="1" applyBorder="1" applyAlignment="1">
      <alignment horizontal="right" vertical="center"/>
    </xf>
    <xf numFmtId="49" fontId="2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49" fontId="2" fillId="0" borderId="1" xfId="0" applyNumberFormat="1" applyFont="1" applyBorder="1" applyAlignment="1">
      <alignment vertical="center"/>
    </xf>
    <xf numFmtId="0" fontId="15" fillId="0" borderId="0" xfId="1" applyFont="1" applyAlignment="1">
      <alignment horizontal="center" vertical="center" wrapText="1"/>
    </xf>
    <xf numFmtId="0" fontId="3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 vertical="center" wrapText="1"/>
    </xf>
    <xf numFmtId="3" fontId="3" fillId="0" borderId="25" xfId="0" quotePrefix="1" applyNumberFormat="1" applyFont="1" applyBorder="1" applyAlignment="1">
      <alignment horizontal="center" vertical="center"/>
    </xf>
    <xf numFmtId="3" fontId="3" fillId="0" borderId="28" xfId="0" quotePrefix="1" applyNumberFormat="1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31" xfId="0" applyFont="1" applyBorder="1" applyAlignment="1" applyProtection="1">
      <alignment horizontal="center" vertical="center"/>
      <protection hidden="1"/>
    </xf>
    <xf numFmtId="0" fontId="17" fillId="0" borderId="0" xfId="0" applyFont="1" applyFill="1" applyBorder="1" applyAlignment="1">
      <alignment vertical="center"/>
    </xf>
    <xf numFmtId="0" fontId="3" fillId="0" borderId="8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3" fontId="2" fillId="0" borderId="9" xfId="0" applyNumberFormat="1" applyFont="1" applyBorder="1" applyAlignment="1" applyProtection="1">
      <alignment horizontal="center" vertical="center"/>
      <protection hidden="1"/>
    </xf>
    <xf numFmtId="3" fontId="2" fillId="0" borderId="7" xfId="0" applyNumberFormat="1" applyFont="1" applyBorder="1" applyAlignment="1" applyProtection="1">
      <alignment horizontal="center" vertical="center"/>
      <protection hidden="1"/>
    </xf>
    <xf numFmtId="3" fontId="3" fillId="7" borderId="0" xfId="0" applyNumberFormat="1" applyFont="1" applyFill="1" applyAlignment="1">
      <alignment horizontal="center" vertical="center"/>
    </xf>
    <xf numFmtId="0" fontId="11" fillId="28" borderId="39" xfId="0" applyFont="1" applyFill="1" applyBorder="1" applyAlignment="1">
      <alignment horizontal="left" vertical="center" textRotation="90" wrapText="1"/>
    </xf>
    <xf numFmtId="0" fontId="3" fillId="0" borderId="19" xfId="0" applyFont="1" applyBorder="1" applyAlignment="1">
      <alignment horizontal="right" vertical="center" readingOrder="2"/>
    </xf>
    <xf numFmtId="0" fontId="3" fillId="0" borderId="20" xfId="0" applyFont="1" applyBorder="1" applyAlignment="1">
      <alignment horizontal="right" vertical="center" readingOrder="2"/>
    </xf>
    <xf numFmtId="0" fontId="3" fillId="0" borderId="36" xfId="0" applyFont="1" applyBorder="1" applyAlignment="1">
      <alignment horizontal="right" vertical="center" readingOrder="2"/>
    </xf>
    <xf numFmtId="0" fontId="3" fillId="0" borderId="27" xfId="0" applyFont="1" applyBorder="1" applyAlignment="1">
      <alignment horizontal="center"/>
    </xf>
    <xf numFmtId="0" fontId="3" fillId="0" borderId="24" xfId="0" applyFont="1" applyBorder="1" applyAlignment="1">
      <alignment horizontal="center"/>
    </xf>
    <xf numFmtId="0" fontId="3" fillId="0" borderId="28" xfId="0" applyFont="1" applyBorder="1" applyAlignment="1">
      <alignment horizontal="center"/>
    </xf>
    <xf numFmtId="0" fontId="3" fillId="0" borderId="26" xfId="0" applyFont="1" applyBorder="1" applyAlignment="1">
      <alignment horizontal="center"/>
    </xf>
    <xf numFmtId="0" fontId="3" fillId="0" borderId="23" xfId="0" applyFont="1" applyBorder="1" applyAlignment="1">
      <alignment horizontal="center" vertical="center" wrapText="1"/>
    </xf>
    <xf numFmtId="0" fontId="3" fillId="0" borderId="27" xfId="0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 wrapText="1"/>
    </xf>
    <xf numFmtId="0" fontId="3" fillId="0" borderId="25" xfId="0" applyFont="1" applyBorder="1" applyAlignment="1">
      <alignment horizontal="center" vertical="center" wrapText="1"/>
    </xf>
    <xf numFmtId="0" fontId="3" fillId="0" borderId="28" xfId="0" applyFont="1" applyBorder="1" applyAlignment="1">
      <alignment horizontal="center" vertical="center" wrapText="1"/>
    </xf>
    <xf numFmtId="0" fontId="3" fillId="0" borderId="26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/>
    </xf>
    <xf numFmtId="0" fontId="13" fillId="29" borderId="22" xfId="0" applyFont="1" applyFill="1" applyBorder="1" applyAlignment="1">
      <alignment horizontal="right" vertical="center" readingOrder="2"/>
    </xf>
    <xf numFmtId="0" fontId="13" fillId="29" borderId="37" xfId="0" applyFont="1" applyFill="1" applyBorder="1" applyAlignment="1">
      <alignment horizontal="right" vertical="center" readingOrder="2"/>
    </xf>
    <xf numFmtId="0" fontId="13" fillId="29" borderId="38" xfId="0" applyFont="1" applyFill="1" applyBorder="1" applyAlignment="1">
      <alignment horizontal="right" vertical="center" readingOrder="2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 readingOrder="2"/>
    </xf>
    <xf numFmtId="0" fontId="3" fillId="0" borderId="4" xfId="0" applyFont="1" applyBorder="1" applyAlignment="1">
      <alignment horizontal="right" vertical="center" readingOrder="2"/>
    </xf>
    <xf numFmtId="0" fontId="3" fillId="5" borderId="0" xfId="0" applyFont="1" applyFill="1" applyAlignment="1">
      <alignment horizontal="center" vertical="center"/>
    </xf>
    <xf numFmtId="0" fontId="2" fillId="0" borderId="0" xfId="0" applyFont="1" applyAlignment="1">
      <alignment horizontal="left" vertical="center"/>
    </xf>
    <xf numFmtId="49" fontId="2" fillId="0" borderId="19" xfId="0" applyNumberFormat="1" applyFont="1" applyBorder="1" applyAlignment="1">
      <alignment horizontal="center" vertical="center"/>
    </xf>
    <xf numFmtId="49" fontId="2" fillId="0" borderId="20" xfId="0" applyNumberFormat="1" applyFont="1" applyBorder="1" applyAlignment="1">
      <alignment horizontal="center" vertical="center"/>
    </xf>
    <xf numFmtId="49" fontId="2" fillId="0" borderId="21" xfId="0" applyNumberFormat="1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49" fontId="2" fillId="0" borderId="23" xfId="0" applyNumberFormat="1" applyFont="1" applyBorder="1" applyAlignment="1">
      <alignment horizontal="right" vertical="center" wrapText="1"/>
    </xf>
    <xf numFmtId="49" fontId="2" fillId="0" borderId="27" xfId="0" applyNumberFormat="1" applyFont="1" applyBorder="1" applyAlignment="1">
      <alignment horizontal="right" vertical="center" wrapText="1"/>
    </xf>
    <xf numFmtId="49" fontId="2" fillId="0" borderId="24" xfId="0" applyNumberFormat="1" applyFont="1" applyBorder="1" applyAlignment="1">
      <alignment horizontal="right" vertical="center" wrapText="1"/>
    </xf>
    <xf numFmtId="49" fontId="2" fillId="0" borderId="25" xfId="0" applyNumberFormat="1" applyFont="1" applyBorder="1" applyAlignment="1">
      <alignment horizontal="right" vertical="center" wrapText="1"/>
    </xf>
    <xf numFmtId="49" fontId="2" fillId="0" borderId="28" xfId="0" applyNumberFormat="1" applyFont="1" applyBorder="1" applyAlignment="1">
      <alignment horizontal="right" vertical="center" wrapText="1"/>
    </xf>
    <xf numFmtId="49" fontId="2" fillId="0" borderId="26" xfId="0" applyNumberFormat="1" applyFont="1" applyBorder="1" applyAlignment="1">
      <alignment horizontal="right" vertical="center" wrapText="1"/>
    </xf>
    <xf numFmtId="0" fontId="2" fillId="0" borderId="19" xfId="0" applyFont="1" applyBorder="1" applyAlignment="1">
      <alignment horizontal="right" vertical="center"/>
    </xf>
    <xf numFmtId="0" fontId="2" fillId="0" borderId="20" xfId="0" applyFont="1" applyBorder="1" applyAlignment="1">
      <alignment horizontal="right" vertical="center"/>
    </xf>
    <xf numFmtId="0" fontId="2" fillId="0" borderId="21" xfId="0" applyFont="1" applyBorder="1" applyAlignment="1">
      <alignment horizontal="right" vertical="center"/>
    </xf>
    <xf numFmtId="49" fontId="2" fillId="0" borderId="19" xfId="0" applyNumberFormat="1" applyFont="1" applyBorder="1" applyAlignment="1">
      <alignment horizontal="right" vertical="center"/>
    </xf>
    <xf numFmtId="49" fontId="2" fillId="0" borderId="20" xfId="0" applyNumberFormat="1" applyFont="1" applyBorder="1" applyAlignment="1">
      <alignment horizontal="right" vertical="center"/>
    </xf>
    <xf numFmtId="49" fontId="2" fillId="0" borderId="21" xfId="0" applyNumberFormat="1" applyFont="1" applyBorder="1" applyAlignment="1">
      <alignment horizontal="right" vertical="center"/>
    </xf>
    <xf numFmtId="49" fontId="2" fillId="0" borderId="0" xfId="0" applyNumberFormat="1" applyFont="1" applyAlignment="1">
      <alignment horizontal="center" vertical="center"/>
    </xf>
    <xf numFmtId="0" fontId="11" fillId="8" borderId="0" xfId="0" applyFont="1" applyFill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2" fillId="0" borderId="40" xfId="0" applyFont="1" applyBorder="1" applyAlignment="1">
      <alignment horizontal="center" vertical="center"/>
    </xf>
    <xf numFmtId="0" fontId="17" fillId="10" borderId="28" xfId="0" applyFont="1" applyFill="1" applyBorder="1" applyAlignment="1">
      <alignment horizontal="center" vertical="center"/>
    </xf>
    <xf numFmtId="0" fontId="18" fillId="0" borderId="23" xfId="0" applyFont="1" applyBorder="1" applyAlignment="1">
      <alignment horizontal="center" vertical="center"/>
    </xf>
    <xf numFmtId="0" fontId="18" fillId="0" borderId="27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 wrapText="1"/>
    </xf>
    <xf numFmtId="0" fontId="3" fillId="0" borderId="33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49" fontId="5" fillId="4" borderId="23" xfId="0" applyNumberFormat="1" applyFont="1" applyFill="1" applyBorder="1" applyAlignment="1">
      <alignment horizontal="right" vertical="center" wrapText="1" readingOrder="2"/>
    </xf>
    <xf numFmtId="49" fontId="5" fillId="4" borderId="27" xfId="0" applyNumberFormat="1" applyFont="1" applyFill="1" applyBorder="1" applyAlignment="1">
      <alignment horizontal="right" vertical="center" wrapText="1" readingOrder="2"/>
    </xf>
    <xf numFmtId="49" fontId="5" fillId="4" borderId="24" xfId="0" applyNumberFormat="1" applyFont="1" applyFill="1" applyBorder="1" applyAlignment="1">
      <alignment horizontal="right" vertical="center" wrapText="1" readingOrder="2"/>
    </xf>
    <xf numFmtId="49" fontId="5" fillId="4" borderId="25" xfId="0" applyNumberFormat="1" applyFont="1" applyFill="1" applyBorder="1" applyAlignment="1">
      <alignment horizontal="right" vertical="center" wrapText="1" readingOrder="2"/>
    </xf>
    <xf numFmtId="49" fontId="5" fillId="4" borderId="28" xfId="0" applyNumberFormat="1" applyFont="1" applyFill="1" applyBorder="1" applyAlignment="1">
      <alignment horizontal="right" vertical="center" wrapText="1" readingOrder="2"/>
    </xf>
    <xf numFmtId="49" fontId="5" fillId="4" borderId="26" xfId="0" applyNumberFormat="1" applyFont="1" applyFill="1" applyBorder="1" applyAlignment="1">
      <alignment horizontal="right" vertical="center" wrapText="1" readingOrder="2"/>
    </xf>
    <xf numFmtId="49" fontId="5" fillId="4" borderId="1" xfId="0" applyNumberFormat="1" applyFont="1" applyFill="1" applyBorder="1" applyAlignment="1">
      <alignment horizontal="right" vertical="center" wrapText="1" readingOrder="2"/>
    </xf>
    <xf numFmtId="0" fontId="8" fillId="9" borderId="1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480000"/>
      <color rgb="FFFF0000"/>
      <color rgb="FFFFB4B4"/>
      <color rgb="FFFFA0A0"/>
      <color rgb="FFFF8C8C"/>
      <color rgb="FFFF7878"/>
      <color rgb="FFFF6464"/>
      <color rgb="FFFF5050"/>
      <color rgb="FFFF3C3C"/>
      <color rgb="FFFF28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checked="Checked" lockText="1" noThreeD="1"/>
</file>

<file path=xl/ctrlProps/ctrlProp5.xml><?xml version="1.0" encoding="utf-8"?>
<formControlPr xmlns="http://schemas.microsoft.com/office/spreadsheetml/2009/9/main" objectType="CheckBox" checked="Checked" lockText="1" noThreeD="1"/>
</file>

<file path=xl/ctrlProps/ctrlProp6.xml><?xml version="1.0" encoding="utf-8"?>
<formControlPr xmlns="http://schemas.microsoft.com/office/spreadsheetml/2009/9/main" objectType="CheckBox" checked="Checked" lockText="1" noThreeD="1"/>
</file>

<file path=xl/ctrlProps/ctrlProp7.xml><?xml version="1.0" encoding="utf-8"?>
<formControlPr xmlns="http://schemas.microsoft.com/office/spreadsheetml/2009/9/main" objectType="CheckBox" checked="Checked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checked="Checked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checked="Checked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checked="Checked" lockText="1" noThreeD="1"/>
</file>

<file path=xl/ctrlProps/ctrlProp19.xml><?xml version="1.0" encoding="utf-8"?>
<formControlPr xmlns="http://schemas.microsoft.com/office/spreadsheetml/2009/9/main" objectType="CheckBox" checked="Checked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209550</xdr:colOff>
          <xdr:row>15</xdr:row>
          <xdr:rowOff>9525</xdr:rowOff>
        </xdr:from>
        <xdr:to>
          <xdr:col>13</xdr:col>
          <xdr:colOff>447675</xdr:colOff>
          <xdr:row>15</xdr:row>
          <xdr:rowOff>228600</xdr:rowOff>
        </xdr:to>
        <xdr:sp macro="" textlink="">
          <xdr:nvSpPr>
            <xdr:cNvPr id="2087" name="Check Box 39" hidden="1">
              <a:extLst>
                <a:ext uri="{63B3BB69-23CF-44E3-9099-C40C66FF867C}">
                  <a14:compatExt spid="_x0000_s2087"/>
                </a:ext>
                <a:ext uri="{FF2B5EF4-FFF2-40B4-BE49-F238E27FC236}">
                  <a16:creationId xmlns:a16="http://schemas.microsoft.com/office/drawing/2014/main" id="{00000000-0008-0000-0000-00002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209550</xdr:colOff>
          <xdr:row>16</xdr:row>
          <xdr:rowOff>9525</xdr:rowOff>
        </xdr:from>
        <xdr:to>
          <xdr:col>13</xdr:col>
          <xdr:colOff>447675</xdr:colOff>
          <xdr:row>16</xdr:row>
          <xdr:rowOff>228600</xdr:rowOff>
        </xdr:to>
        <xdr:sp macro="" textlink="">
          <xdr:nvSpPr>
            <xdr:cNvPr id="2088" name="Check Box 40" hidden="1">
              <a:extLst>
                <a:ext uri="{63B3BB69-23CF-44E3-9099-C40C66FF867C}">
                  <a14:compatExt spid="_x0000_s2088"/>
                </a:ext>
                <a:ext uri="{FF2B5EF4-FFF2-40B4-BE49-F238E27FC236}">
                  <a16:creationId xmlns:a16="http://schemas.microsoft.com/office/drawing/2014/main" id="{00000000-0008-0000-0000-00002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209550</xdr:colOff>
          <xdr:row>13</xdr:row>
          <xdr:rowOff>9525</xdr:rowOff>
        </xdr:from>
        <xdr:to>
          <xdr:col>13</xdr:col>
          <xdr:colOff>447675</xdr:colOff>
          <xdr:row>13</xdr:row>
          <xdr:rowOff>228600</xdr:rowOff>
        </xdr:to>
        <xdr:sp macro="" textlink="">
          <xdr:nvSpPr>
            <xdr:cNvPr id="2089" name="Check Box 41" hidden="1">
              <a:extLst>
                <a:ext uri="{63B3BB69-23CF-44E3-9099-C40C66FF867C}">
                  <a14:compatExt spid="_x0000_s2089"/>
                </a:ext>
                <a:ext uri="{FF2B5EF4-FFF2-40B4-BE49-F238E27FC236}">
                  <a16:creationId xmlns:a16="http://schemas.microsoft.com/office/drawing/2014/main" id="{00000000-0008-0000-0000-00002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209550</xdr:colOff>
          <xdr:row>14</xdr:row>
          <xdr:rowOff>0</xdr:rowOff>
        </xdr:from>
        <xdr:to>
          <xdr:col>13</xdr:col>
          <xdr:colOff>447675</xdr:colOff>
          <xdr:row>14</xdr:row>
          <xdr:rowOff>228600</xdr:rowOff>
        </xdr:to>
        <xdr:sp macro="" textlink="">
          <xdr:nvSpPr>
            <xdr:cNvPr id="2090" name="Check Box 42" hidden="1">
              <a:extLst>
                <a:ext uri="{63B3BB69-23CF-44E3-9099-C40C66FF867C}">
                  <a14:compatExt spid="_x0000_s2090"/>
                </a:ext>
                <a:ext uri="{FF2B5EF4-FFF2-40B4-BE49-F238E27FC236}">
                  <a16:creationId xmlns:a16="http://schemas.microsoft.com/office/drawing/2014/main" id="{00000000-0008-0000-0000-00002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200025</xdr:colOff>
          <xdr:row>10</xdr:row>
          <xdr:rowOff>9525</xdr:rowOff>
        </xdr:from>
        <xdr:to>
          <xdr:col>13</xdr:col>
          <xdr:colOff>438150</xdr:colOff>
          <xdr:row>10</xdr:row>
          <xdr:rowOff>238125</xdr:rowOff>
        </xdr:to>
        <xdr:sp macro="" textlink="">
          <xdr:nvSpPr>
            <xdr:cNvPr id="2105" name="Check Box 57" hidden="1">
              <a:extLst>
                <a:ext uri="{63B3BB69-23CF-44E3-9099-C40C66FF867C}">
                  <a14:compatExt spid="_x0000_s2105"/>
                </a:ext>
                <a:ext uri="{FF2B5EF4-FFF2-40B4-BE49-F238E27FC236}">
                  <a16:creationId xmlns:a16="http://schemas.microsoft.com/office/drawing/2014/main" id="{00000000-0008-0000-0000-00003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200025</xdr:colOff>
          <xdr:row>9</xdr:row>
          <xdr:rowOff>0</xdr:rowOff>
        </xdr:from>
        <xdr:to>
          <xdr:col>13</xdr:col>
          <xdr:colOff>438150</xdr:colOff>
          <xdr:row>9</xdr:row>
          <xdr:rowOff>228600</xdr:rowOff>
        </xdr:to>
        <xdr:sp macro="" textlink="">
          <xdr:nvSpPr>
            <xdr:cNvPr id="2108" name="Check Box 60" hidden="1">
              <a:extLst>
                <a:ext uri="{63B3BB69-23CF-44E3-9099-C40C66FF867C}">
                  <a14:compatExt spid="_x0000_s2108"/>
                </a:ext>
                <a:ext uri="{FF2B5EF4-FFF2-40B4-BE49-F238E27FC236}">
                  <a16:creationId xmlns:a16="http://schemas.microsoft.com/office/drawing/2014/main" id="{00000000-0008-0000-0000-00003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200025</xdr:colOff>
          <xdr:row>8</xdr:row>
          <xdr:rowOff>0</xdr:rowOff>
        </xdr:from>
        <xdr:to>
          <xdr:col>13</xdr:col>
          <xdr:colOff>438150</xdr:colOff>
          <xdr:row>8</xdr:row>
          <xdr:rowOff>228600</xdr:rowOff>
        </xdr:to>
        <xdr:sp macro="" textlink="">
          <xdr:nvSpPr>
            <xdr:cNvPr id="2113" name="Check Box 65" hidden="1">
              <a:extLst>
                <a:ext uri="{63B3BB69-23CF-44E3-9099-C40C66FF867C}">
                  <a14:compatExt spid="_x0000_s2113"/>
                </a:ext>
                <a:ext uri="{FF2B5EF4-FFF2-40B4-BE49-F238E27FC236}">
                  <a16:creationId xmlns:a16="http://schemas.microsoft.com/office/drawing/2014/main" id="{00000000-0008-0000-0000-00004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200025</xdr:colOff>
          <xdr:row>7</xdr:row>
          <xdr:rowOff>0</xdr:rowOff>
        </xdr:from>
        <xdr:to>
          <xdr:col>13</xdr:col>
          <xdr:colOff>438150</xdr:colOff>
          <xdr:row>7</xdr:row>
          <xdr:rowOff>228600</xdr:rowOff>
        </xdr:to>
        <xdr:sp macro="" textlink="">
          <xdr:nvSpPr>
            <xdr:cNvPr id="2118" name="Check Box 70" hidden="1">
              <a:extLst>
                <a:ext uri="{63B3BB69-23CF-44E3-9099-C40C66FF867C}">
                  <a14:compatExt spid="_x0000_s2118"/>
                </a:ext>
                <a:ext uri="{FF2B5EF4-FFF2-40B4-BE49-F238E27FC236}">
                  <a16:creationId xmlns:a16="http://schemas.microsoft.com/office/drawing/2014/main" id="{00000000-0008-0000-0000-00004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209550</xdr:colOff>
          <xdr:row>6</xdr:row>
          <xdr:rowOff>0</xdr:rowOff>
        </xdr:from>
        <xdr:to>
          <xdr:col>13</xdr:col>
          <xdr:colOff>447675</xdr:colOff>
          <xdr:row>6</xdr:row>
          <xdr:rowOff>228600</xdr:rowOff>
        </xdr:to>
        <xdr:sp macro="" textlink="">
          <xdr:nvSpPr>
            <xdr:cNvPr id="2123" name="Check Box 75" hidden="1">
              <a:extLst>
                <a:ext uri="{63B3BB69-23CF-44E3-9099-C40C66FF867C}">
                  <a14:compatExt spid="_x0000_s2123"/>
                </a:ext>
                <a:ext uri="{FF2B5EF4-FFF2-40B4-BE49-F238E27FC236}">
                  <a16:creationId xmlns:a16="http://schemas.microsoft.com/office/drawing/2014/main" id="{00000000-0008-0000-0000-00004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209550</xdr:colOff>
          <xdr:row>5</xdr:row>
          <xdr:rowOff>9525</xdr:rowOff>
        </xdr:from>
        <xdr:to>
          <xdr:col>13</xdr:col>
          <xdr:colOff>447675</xdr:colOff>
          <xdr:row>5</xdr:row>
          <xdr:rowOff>228600</xdr:rowOff>
        </xdr:to>
        <xdr:sp macro="" textlink="">
          <xdr:nvSpPr>
            <xdr:cNvPr id="2128" name="Check Box 80" hidden="1">
              <a:extLst>
                <a:ext uri="{63B3BB69-23CF-44E3-9099-C40C66FF867C}">
                  <a14:compatExt spid="_x0000_s2128"/>
                </a:ext>
                <a:ext uri="{FF2B5EF4-FFF2-40B4-BE49-F238E27FC236}">
                  <a16:creationId xmlns:a16="http://schemas.microsoft.com/office/drawing/2014/main" id="{00000000-0008-0000-0000-00005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200025</xdr:colOff>
          <xdr:row>4</xdr:row>
          <xdr:rowOff>0</xdr:rowOff>
        </xdr:from>
        <xdr:to>
          <xdr:col>13</xdr:col>
          <xdr:colOff>438150</xdr:colOff>
          <xdr:row>4</xdr:row>
          <xdr:rowOff>228600</xdr:rowOff>
        </xdr:to>
        <xdr:sp macro="" textlink="">
          <xdr:nvSpPr>
            <xdr:cNvPr id="2133" name="Check Box 85" hidden="1">
              <a:extLst>
                <a:ext uri="{63B3BB69-23CF-44E3-9099-C40C66FF867C}">
                  <a14:compatExt spid="_x0000_s2133"/>
                </a:ext>
                <a:ext uri="{FF2B5EF4-FFF2-40B4-BE49-F238E27FC236}">
                  <a16:creationId xmlns:a16="http://schemas.microsoft.com/office/drawing/2014/main" id="{00000000-0008-0000-0000-00005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200025</xdr:colOff>
          <xdr:row>3</xdr:row>
          <xdr:rowOff>9525</xdr:rowOff>
        </xdr:from>
        <xdr:to>
          <xdr:col>13</xdr:col>
          <xdr:colOff>438150</xdr:colOff>
          <xdr:row>3</xdr:row>
          <xdr:rowOff>238125</xdr:rowOff>
        </xdr:to>
        <xdr:sp macro="" textlink="">
          <xdr:nvSpPr>
            <xdr:cNvPr id="2142" name="Check Box 94" hidden="1">
              <a:extLst>
                <a:ext uri="{63B3BB69-23CF-44E3-9099-C40C66FF867C}">
                  <a14:compatExt spid="_x0000_s2142"/>
                </a:ext>
                <a:ext uri="{FF2B5EF4-FFF2-40B4-BE49-F238E27FC236}">
                  <a16:creationId xmlns:a16="http://schemas.microsoft.com/office/drawing/2014/main" id="{00000000-0008-0000-0000-00005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209550</xdr:colOff>
          <xdr:row>17</xdr:row>
          <xdr:rowOff>9525</xdr:rowOff>
        </xdr:from>
        <xdr:to>
          <xdr:col>13</xdr:col>
          <xdr:colOff>447675</xdr:colOff>
          <xdr:row>17</xdr:row>
          <xdr:rowOff>228600</xdr:rowOff>
        </xdr:to>
        <xdr:sp macro="" textlink="">
          <xdr:nvSpPr>
            <xdr:cNvPr id="2529" name="Check Box 481" hidden="1">
              <a:extLst>
                <a:ext uri="{63B3BB69-23CF-44E3-9099-C40C66FF867C}">
                  <a14:compatExt spid="_x0000_s2529"/>
                </a:ext>
                <a:ext uri="{FF2B5EF4-FFF2-40B4-BE49-F238E27FC236}">
                  <a16:creationId xmlns:a16="http://schemas.microsoft.com/office/drawing/2014/main" id="{00000000-0008-0000-0000-0000E1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209550</xdr:colOff>
          <xdr:row>18</xdr:row>
          <xdr:rowOff>9525</xdr:rowOff>
        </xdr:from>
        <xdr:to>
          <xdr:col>13</xdr:col>
          <xdr:colOff>447675</xdr:colOff>
          <xdr:row>18</xdr:row>
          <xdr:rowOff>228600</xdr:rowOff>
        </xdr:to>
        <xdr:sp macro="" textlink="">
          <xdr:nvSpPr>
            <xdr:cNvPr id="2536" name="Check Box 488" hidden="1">
              <a:extLst>
                <a:ext uri="{63B3BB69-23CF-44E3-9099-C40C66FF867C}">
                  <a14:compatExt spid="_x0000_s2536"/>
                </a:ext>
                <a:ext uri="{FF2B5EF4-FFF2-40B4-BE49-F238E27FC236}">
                  <a16:creationId xmlns:a16="http://schemas.microsoft.com/office/drawing/2014/main" id="{00000000-0008-0000-0000-0000E8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209550</xdr:colOff>
          <xdr:row>19</xdr:row>
          <xdr:rowOff>9525</xdr:rowOff>
        </xdr:from>
        <xdr:to>
          <xdr:col>13</xdr:col>
          <xdr:colOff>447675</xdr:colOff>
          <xdr:row>19</xdr:row>
          <xdr:rowOff>228600</xdr:rowOff>
        </xdr:to>
        <xdr:sp macro="" textlink="">
          <xdr:nvSpPr>
            <xdr:cNvPr id="2538" name="Check Box 490" hidden="1">
              <a:extLst>
                <a:ext uri="{63B3BB69-23CF-44E3-9099-C40C66FF867C}">
                  <a14:compatExt spid="_x0000_s2538"/>
                </a:ext>
                <a:ext uri="{FF2B5EF4-FFF2-40B4-BE49-F238E27FC236}">
                  <a16:creationId xmlns:a16="http://schemas.microsoft.com/office/drawing/2014/main" id="{00000000-0008-0000-0000-0000EA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209550</xdr:colOff>
          <xdr:row>20</xdr:row>
          <xdr:rowOff>9525</xdr:rowOff>
        </xdr:from>
        <xdr:to>
          <xdr:col>13</xdr:col>
          <xdr:colOff>447675</xdr:colOff>
          <xdr:row>20</xdr:row>
          <xdr:rowOff>228600</xdr:rowOff>
        </xdr:to>
        <xdr:sp macro="" textlink="">
          <xdr:nvSpPr>
            <xdr:cNvPr id="2540" name="Check Box 492" hidden="1">
              <a:extLst>
                <a:ext uri="{63B3BB69-23CF-44E3-9099-C40C66FF867C}">
                  <a14:compatExt spid="_x0000_s2540"/>
                </a:ext>
                <a:ext uri="{FF2B5EF4-FFF2-40B4-BE49-F238E27FC236}">
                  <a16:creationId xmlns:a16="http://schemas.microsoft.com/office/drawing/2014/main" id="{00000000-0008-0000-0000-0000EC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209550</xdr:colOff>
          <xdr:row>21</xdr:row>
          <xdr:rowOff>9525</xdr:rowOff>
        </xdr:from>
        <xdr:to>
          <xdr:col>13</xdr:col>
          <xdr:colOff>447675</xdr:colOff>
          <xdr:row>21</xdr:row>
          <xdr:rowOff>228600</xdr:rowOff>
        </xdr:to>
        <xdr:sp macro="" textlink="">
          <xdr:nvSpPr>
            <xdr:cNvPr id="2543" name="Check Box 495" hidden="1">
              <a:extLst>
                <a:ext uri="{63B3BB69-23CF-44E3-9099-C40C66FF867C}">
                  <a14:compatExt spid="_x0000_s2543"/>
                </a:ext>
                <a:ext uri="{FF2B5EF4-FFF2-40B4-BE49-F238E27FC236}">
                  <a16:creationId xmlns:a16="http://schemas.microsoft.com/office/drawing/2014/main" id="{00000000-0008-0000-0000-0000EF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200025</xdr:colOff>
          <xdr:row>11</xdr:row>
          <xdr:rowOff>9525</xdr:rowOff>
        </xdr:from>
        <xdr:to>
          <xdr:col>13</xdr:col>
          <xdr:colOff>438150</xdr:colOff>
          <xdr:row>11</xdr:row>
          <xdr:rowOff>238125</xdr:rowOff>
        </xdr:to>
        <xdr:sp macro="" textlink="">
          <xdr:nvSpPr>
            <xdr:cNvPr id="2624" name="Check Box 576" hidden="1">
              <a:extLst>
                <a:ext uri="{63B3BB69-23CF-44E3-9099-C40C66FF867C}">
                  <a14:compatExt spid="_x0000_s2624"/>
                </a:ext>
                <a:ext uri="{FF2B5EF4-FFF2-40B4-BE49-F238E27FC236}">
                  <a16:creationId xmlns:a16="http://schemas.microsoft.com/office/drawing/2014/main" id="{00000000-0008-0000-0000-000040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200025</xdr:colOff>
          <xdr:row>12</xdr:row>
          <xdr:rowOff>9525</xdr:rowOff>
        </xdr:from>
        <xdr:to>
          <xdr:col>13</xdr:col>
          <xdr:colOff>438150</xdr:colOff>
          <xdr:row>12</xdr:row>
          <xdr:rowOff>238125</xdr:rowOff>
        </xdr:to>
        <xdr:sp macro="" textlink="">
          <xdr:nvSpPr>
            <xdr:cNvPr id="2625" name="Check Box 577" hidden="1">
              <a:extLst>
                <a:ext uri="{63B3BB69-23CF-44E3-9099-C40C66FF867C}">
                  <a14:compatExt spid="_x0000_s2625"/>
                </a:ext>
                <a:ext uri="{FF2B5EF4-FFF2-40B4-BE49-F238E27FC236}">
                  <a16:creationId xmlns:a16="http://schemas.microsoft.com/office/drawing/2014/main" id="{00000000-0008-0000-0000-000041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4.xml"/><Relationship Id="rId13" Type="http://schemas.openxmlformats.org/officeDocument/2006/relationships/ctrlProp" Target="../ctrlProps/ctrlProp9.xml"/><Relationship Id="rId18" Type="http://schemas.openxmlformats.org/officeDocument/2006/relationships/ctrlProp" Target="../ctrlProps/ctrlProp14.xml"/><Relationship Id="rId3" Type="http://schemas.openxmlformats.org/officeDocument/2006/relationships/drawing" Target="../drawings/drawing1.xml"/><Relationship Id="rId21" Type="http://schemas.openxmlformats.org/officeDocument/2006/relationships/ctrlProp" Target="../ctrlProps/ctrlProp17.xml"/><Relationship Id="rId7" Type="http://schemas.openxmlformats.org/officeDocument/2006/relationships/ctrlProp" Target="../ctrlProps/ctrlProp3.xml"/><Relationship Id="rId12" Type="http://schemas.openxmlformats.org/officeDocument/2006/relationships/ctrlProp" Target="../ctrlProps/ctrlProp8.xml"/><Relationship Id="rId17" Type="http://schemas.openxmlformats.org/officeDocument/2006/relationships/ctrlProp" Target="../ctrlProps/ctrlProp13.xml"/><Relationship Id="rId2" Type="http://schemas.openxmlformats.org/officeDocument/2006/relationships/printerSettings" Target="../printerSettings/printerSettings1.bin"/><Relationship Id="rId16" Type="http://schemas.openxmlformats.org/officeDocument/2006/relationships/ctrlProp" Target="../ctrlProps/ctrlProp12.xml"/><Relationship Id="rId20" Type="http://schemas.openxmlformats.org/officeDocument/2006/relationships/ctrlProp" Target="../ctrlProps/ctrlProp16.xml"/><Relationship Id="rId1" Type="http://schemas.openxmlformats.org/officeDocument/2006/relationships/hyperlink" Target="mailto:Order@CheapPCB.ir" TargetMode="External"/><Relationship Id="rId6" Type="http://schemas.openxmlformats.org/officeDocument/2006/relationships/ctrlProp" Target="../ctrlProps/ctrlProp2.xml"/><Relationship Id="rId11" Type="http://schemas.openxmlformats.org/officeDocument/2006/relationships/ctrlProp" Target="../ctrlProps/ctrlProp7.xml"/><Relationship Id="rId24" Type="http://schemas.openxmlformats.org/officeDocument/2006/relationships/comments" Target="../comments1.xml"/><Relationship Id="rId5" Type="http://schemas.openxmlformats.org/officeDocument/2006/relationships/ctrlProp" Target="../ctrlProps/ctrlProp1.xml"/><Relationship Id="rId15" Type="http://schemas.openxmlformats.org/officeDocument/2006/relationships/ctrlProp" Target="../ctrlProps/ctrlProp11.xml"/><Relationship Id="rId23" Type="http://schemas.openxmlformats.org/officeDocument/2006/relationships/ctrlProp" Target="../ctrlProps/ctrlProp19.xml"/><Relationship Id="rId10" Type="http://schemas.openxmlformats.org/officeDocument/2006/relationships/ctrlProp" Target="../ctrlProps/ctrlProp6.xml"/><Relationship Id="rId19" Type="http://schemas.openxmlformats.org/officeDocument/2006/relationships/ctrlProp" Target="../ctrlProps/ctrlProp15.xml"/><Relationship Id="rId4" Type="http://schemas.openxmlformats.org/officeDocument/2006/relationships/vmlDrawing" Target="../drawings/vmlDrawing1.vml"/><Relationship Id="rId9" Type="http://schemas.openxmlformats.org/officeDocument/2006/relationships/ctrlProp" Target="../ctrlProps/ctrlProp5.xml"/><Relationship Id="rId14" Type="http://schemas.openxmlformats.org/officeDocument/2006/relationships/ctrlProp" Target="../ctrlProps/ctrlProp10.xml"/><Relationship Id="rId22" Type="http://schemas.openxmlformats.org/officeDocument/2006/relationships/ctrlProp" Target="../ctrlProps/ctrlProp1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1:AA37"/>
  <sheetViews>
    <sheetView tabSelected="1" zoomScale="85" zoomScaleNormal="85" workbookViewId="0">
      <selection activeCell="D10" sqref="D10:M10"/>
    </sheetView>
  </sheetViews>
  <sheetFormatPr defaultColWidth="9" defaultRowHeight="19.5" customHeight="1" x14ac:dyDescent="0.3"/>
  <cols>
    <col min="1" max="1" width="2.5703125" style="2" customWidth="1"/>
    <col min="2" max="3" width="5.42578125" style="2" customWidth="1"/>
    <col min="4" max="4" width="8.42578125" style="2" customWidth="1"/>
    <col min="5" max="5" width="2.42578125" style="2" customWidth="1"/>
    <col min="6" max="6" width="7" style="2" customWidth="1"/>
    <col min="7" max="7" width="6" style="2" customWidth="1"/>
    <col min="8" max="8" width="7" style="2" customWidth="1"/>
    <col min="9" max="9" width="13" style="2" customWidth="1"/>
    <col min="10" max="10" width="6" style="2" customWidth="1"/>
    <col min="11" max="11" width="8.42578125" style="2" customWidth="1"/>
    <col min="12" max="12" width="1.85546875" style="2" customWidth="1"/>
    <col min="13" max="13" width="13.5703125" style="2" customWidth="1"/>
    <col min="14" max="14" width="8.28515625" style="2" customWidth="1"/>
    <col min="15" max="15" width="1.85546875" style="2" customWidth="1"/>
    <col min="16" max="16" width="2.42578125" style="2" customWidth="1"/>
    <col min="17" max="17" width="6.28515625" style="2" customWidth="1"/>
    <col min="18" max="18" width="34.28515625" style="2" customWidth="1"/>
    <col min="19" max="19" width="8.140625" style="3" hidden="1" customWidth="1"/>
    <col min="20" max="21" width="8.42578125" style="2" customWidth="1"/>
    <col min="22" max="22" width="7.42578125" style="2" customWidth="1"/>
    <col min="23" max="23" width="13.140625" style="2" customWidth="1"/>
    <col min="24" max="24" width="11.7109375" style="2" customWidth="1"/>
    <col min="25" max="25" width="0.5703125" style="2" customWidth="1"/>
    <col min="26" max="26" width="7.5703125" style="2" hidden="1" customWidth="1"/>
    <col min="27" max="27" width="9" style="2" hidden="1" customWidth="1"/>
    <col min="28" max="16384" width="9" style="2"/>
  </cols>
  <sheetData>
    <row r="1" spans="2:26" ht="27.95" customHeight="1" thickBot="1" x14ac:dyDescent="0.35">
      <c r="S1" s="3" t="b">
        <v>0</v>
      </c>
      <c r="T1" s="57"/>
      <c r="U1" s="116" t="s">
        <v>60</v>
      </c>
      <c r="V1" s="116"/>
      <c r="W1" s="116"/>
    </row>
    <row r="2" spans="2:26" ht="24" customHeight="1" thickTop="1" x14ac:dyDescent="0.3">
      <c r="C2" s="83" t="s">
        <v>0</v>
      </c>
      <c r="D2" s="89" t="s">
        <v>20</v>
      </c>
      <c r="E2" s="89"/>
      <c r="F2" s="89"/>
      <c r="G2" s="89"/>
      <c r="H2" s="89"/>
      <c r="I2" s="89"/>
      <c r="J2" s="89"/>
      <c r="K2" s="89"/>
      <c r="L2" s="89"/>
      <c r="M2" s="89"/>
      <c r="N2" s="85" t="s">
        <v>1</v>
      </c>
      <c r="Q2" s="1"/>
      <c r="R2" s="1"/>
      <c r="S2" s="1"/>
      <c r="T2" s="1"/>
      <c r="U2" s="117" t="s">
        <v>13</v>
      </c>
      <c r="V2" s="118"/>
      <c r="W2" s="55" t="s">
        <v>18</v>
      </c>
      <c r="Z2" s="41">
        <v>140</v>
      </c>
    </row>
    <row r="3" spans="2:26" ht="24" customHeight="1" thickBot="1" x14ac:dyDescent="0.35">
      <c r="C3" s="84"/>
      <c r="D3" s="87" t="s">
        <v>25</v>
      </c>
      <c r="E3" s="88"/>
      <c r="F3" s="88"/>
      <c r="G3" s="88"/>
      <c r="H3" s="88"/>
      <c r="I3" s="88"/>
      <c r="J3" s="88"/>
      <c r="K3" s="88"/>
      <c r="L3" s="88"/>
      <c r="M3" s="88"/>
      <c r="N3" s="86"/>
      <c r="Q3" s="112" t="s">
        <v>2</v>
      </c>
      <c r="R3" s="112"/>
      <c r="S3" s="112"/>
      <c r="T3" s="112"/>
      <c r="U3" s="53">
        <v>19000</v>
      </c>
      <c r="V3" s="54" t="s">
        <v>6</v>
      </c>
      <c r="W3" s="56">
        <v>10</v>
      </c>
      <c r="Z3" s="40" t="b">
        <v>0</v>
      </c>
    </row>
    <row r="4" spans="2:26" ht="19.5" customHeight="1" thickTop="1" thickBot="1" x14ac:dyDescent="0.35">
      <c r="B4" s="65" t="s">
        <v>26</v>
      </c>
      <c r="C4" s="25">
        <v>1</v>
      </c>
      <c r="D4" s="91" t="s">
        <v>49</v>
      </c>
      <c r="E4" s="91"/>
      <c r="F4" s="91"/>
      <c r="G4" s="91"/>
      <c r="H4" s="91"/>
      <c r="I4" s="91"/>
      <c r="J4" s="91"/>
      <c r="K4" s="91"/>
      <c r="L4" s="91"/>
      <c r="M4" s="91"/>
      <c r="N4" s="4"/>
    </row>
    <row r="5" spans="2:26" ht="19.5" customHeight="1" thickTop="1" x14ac:dyDescent="0.3">
      <c r="B5" s="65"/>
      <c r="C5" s="27">
        <f>C4+1</f>
        <v>2</v>
      </c>
      <c r="D5" s="90" t="s">
        <v>51</v>
      </c>
      <c r="E5" s="90"/>
      <c r="F5" s="90"/>
      <c r="G5" s="90"/>
      <c r="H5" s="90"/>
      <c r="I5" s="90"/>
      <c r="J5" s="90"/>
      <c r="K5" s="90"/>
      <c r="L5" s="90"/>
      <c r="M5" s="90"/>
      <c r="N5" s="5"/>
      <c r="Q5" s="123" t="s">
        <v>0</v>
      </c>
      <c r="R5" s="119" t="s">
        <v>65</v>
      </c>
      <c r="S5" s="17"/>
      <c r="T5" s="121" t="s">
        <v>16</v>
      </c>
      <c r="U5" s="122"/>
      <c r="V5" s="119" t="s">
        <v>5</v>
      </c>
      <c r="W5" s="60" t="s">
        <v>7</v>
      </c>
      <c r="X5" s="13"/>
    </row>
    <row r="6" spans="2:26" ht="19.5" customHeight="1" x14ac:dyDescent="0.3">
      <c r="B6" s="65"/>
      <c r="C6" s="26">
        <f t="shared" ref="C6:C23" si="0">C5+1</f>
        <v>3</v>
      </c>
      <c r="D6" s="90" t="s">
        <v>50</v>
      </c>
      <c r="E6" s="90"/>
      <c r="F6" s="90"/>
      <c r="G6" s="90"/>
      <c r="H6" s="90"/>
      <c r="I6" s="90"/>
      <c r="J6" s="90"/>
      <c r="K6" s="90"/>
      <c r="L6" s="90"/>
      <c r="M6" s="90"/>
      <c r="N6" s="5"/>
      <c r="Q6" s="124"/>
      <c r="R6" s="120"/>
      <c r="S6" s="19"/>
      <c r="T6" s="55" t="s">
        <v>3</v>
      </c>
      <c r="U6" s="55" t="s">
        <v>4</v>
      </c>
      <c r="V6" s="120"/>
      <c r="W6" s="61" t="s">
        <v>8</v>
      </c>
      <c r="X6" s="13"/>
    </row>
    <row r="7" spans="2:26" ht="19.5" customHeight="1" x14ac:dyDescent="0.3">
      <c r="B7" s="65"/>
      <c r="C7" s="24">
        <f t="shared" si="0"/>
        <v>4</v>
      </c>
      <c r="D7" s="90" t="s">
        <v>56</v>
      </c>
      <c r="E7" s="90"/>
      <c r="F7" s="90"/>
      <c r="G7" s="90"/>
      <c r="H7" s="90"/>
      <c r="I7" s="90"/>
      <c r="J7" s="90"/>
      <c r="K7" s="90"/>
      <c r="L7" s="90"/>
      <c r="M7" s="90"/>
      <c r="N7" s="5"/>
      <c r="Q7" s="58">
        <v>1</v>
      </c>
      <c r="R7" s="6" t="s">
        <v>34</v>
      </c>
      <c r="S7" s="7" t="b">
        <v>0</v>
      </c>
      <c r="T7" s="16">
        <v>57</v>
      </c>
      <c r="U7" s="16">
        <v>82</v>
      </c>
      <c r="V7" s="7">
        <v>1</v>
      </c>
      <c r="W7" s="62">
        <f>(IF((T7*U7/100*V7)&lt;$W$3,IF(V7&gt;0,(3.162278*3.162278*$U$3),0),((T7+2)*(U7+2)/100*$U$3*V7)))</f>
        <v>941640</v>
      </c>
      <c r="X7" s="40"/>
      <c r="Y7" s="43"/>
      <c r="Z7" s="42"/>
    </row>
    <row r="8" spans="2:26" ht="19.5" customHeight="1" x14ac:dyDescent="0.3">
      <c r="B8" s="65"/>
      <c r="C8" s="23">
        <f t="shared" si="0"/>
        <v>5</v>
      </c>
      <c r="D8" s="90" t="s">
        <v>57</v>
      </c>
      <c r="E8" s="90"/>
      <c r="F8" s="90"/>
      <c r="G8" s="90"/>
      <c r="H8" s="90"/>
      <c r="I8" s="90"/>
      <c r="J8" s="90"/>
      <c r="K8" s="90"/>
      <c r="L8" s="90"/>
      <c r="M8" s="90"/>
      <c r="N8" s="5"/>
      <c r="Q8" s="58">
        <f t="shared" ref="Q8:Q17" si="1">Q7+1</f>
        <v>2</v>
      </c>
      <c r="R8" s="6" t="s">
        <v>35</v>
      </c>
      <c r="S8" s="7" t="b">
        <v>0</v>
      </c>
      <c r="T8" s="16">
        <v>44</v>
      </c>
      <c r="U8" s="16">
        <v>63</v>
      </c>
      <c r="V8" s="7">
        <v>2</v>
      </c>
      <c r="W8" s="62">
        <f>(IF((T8*U8/100*V8)&lt;$W$3,IF(V8&gt;0,(3.162278*3.162278*$U$3),0),((T8+2)*(U8+2)/100*$U$3*V8)))</f>
        <v>1136200</v>
      </c>
    </row>
    <row r="9" spans="2:26" ht="19.5" customHeight="1" x14ac:dyDescent="0.3">
      <c r="B9" s="65"/>
      <c r="C9" s="28">
        <f t="shared" si="0"/>
        <v>6</v>
      </c>
      <c r="D9" s="66" t="s">
        <v>53</v>
      </c>
      <c r="E9" s="67"/>
      <c r="F9" s="67"/>
      <c r="G9" s="67"/>
      <c r="H9" s="67"/>
      <c r="I9" s="67"/>
      <c r="J9" s="67"/>
      <c r="K9" s="67"/>
      <c r="L9" s="67"/>
      <c r="M9" s="68"/>
      <c r="N9" s="5"/>
      <c r="Q9" s="58">
        <f t="shared" si="1"/>
        <v>3</v>
      </c>
      <c r="R9" s="6"/>
      <c r="S9" s="7" t="b">
        <v>0</v>
      </c>
      <c r="T9" s="16"/>
      <c r="U9" s="16"/>
      <c r="V9" s="7"/>
      <c r="W9" s="62">
        <f t="shared" ref="W9:W17" si="2">(IF((T9*U9/100*V9)&lt;$W$3,IF(V9&gt;0,(3.162278*3.162278*$U$3),0),((T9+2)*(U9+2)/100*$U$3*V9)))</f>
        <v>0</v>
      </c>
    </row>
    <row r="10" spans="2:26" ht="19.5" customHeight="1" x14ac:dyDescent="0.3">
      <c r="B10" s="65"/>
      <c r="C10" s="29">
        <f t="shared" si="0"/>
        <v>7</v>
      </c>
      <c r="D10" s="66" t="s">
        <v>47</v>
      </c>
      <c r="E10" s="67"/>
      <c r="F10" s="67"/>
      <c r="G10" s="67"/>
      <c r="H10" s="67"/>
      <c r="I10" s="67"/>
      <c r="J10" s="67"/>
      <c r="K10" s="67"/>
      <c r="L10" s="67"/>
      <c r="M10" s="68"/>
      <c r="N10" s="5"/>
      <c r="Q10" s="58">
        <f t="shared" si="1"/>
        <v>4</v>
      </c>
      <c r="R10" s="6"/>
      <c r="S10" s="7" t="b">
        <v>0</v>
      </c>
      <c r="T10" s="16"/>
      <c r="U10" s="16"/>
      <c r="V10" s="7"/>
      <c r="W10" s="62">
        <f t="shared" si="2"/>
        <v>0</v>
      </c>
    </row>
    <row r="11" spans="2:26" ht="19.5" customHeight="1" x14ac:dyDescent="0.3">
      <c r="B11" s="65"/>
      <c r="C11" s="30">
        <f t="shared" si="0"/>
        <v>8</v>
      </c>
      <c r="D11" s="66" t="s">
        <v>55</v>
      </c>
      <c r="E11" s="67"/>
      <c r="F11" s="67"/>
      <c r="G11" s="67"/>
      <c r="H11" s="67"/>
      <c r="I11" s="67"/>
      <c r="J11" s="67"/>
      <c r="K11" s="67"/>
      <c r="L11" s="67"/>
      <c r="M11" s="68"/>
      <c r="N11" s="5"/>
      <c r="Q11" s="58">
        <f t="shared" si="1"/>
        <v>5</v>
      </c>
      <c r="R11" s="6"/>
      <c r="S11" s="7" t="b">
        <v>0</v>
      </c>
      <c r="T11" s="16"/>
      <c r="U11" s="16"/>
      <c r="V11" s="7"/>
      <c r="W11" s="62">
        <f t="shared" si="2"/>
        <v>0</v>
      </c>
    </row>
    <row r="12" spans="2:26" ht="19.5" customHeight="1" x14ac:dyDescent="0.3">
      <c r="B12" s="65"/>
      <c r="C12" s="30">
        <v>9</v>
      </c>
      <c r="D12" s="66" t="s">
        <v>48</v>
      </c>
      <c r="E12" s="67"/>
      <c r="F12" s="67"/>
      <c r="G12" s="67"/>
      <c r="H12" s="67"/>
      <c r="I12" s="67"/>
      <c r="J12" s="67"/>
      <c r="K12" s="67"/>
      <c r="L12" s="67"/>
      <c r="M12" s="68"/>
      <c r="N12" s="5"/>
      <c r="Q12" s="58">
        <v>6</v>
      </c>
      <c r="R12" s="6"/>
      <c r="S12" s="7"/>
      <c r="T12" s="16"/>
      <c r="U12" s="16"/>
      <c r="V12" s="7"/>
      <c r="W12" s="62">
        <f t="shared" si="2"/>
        <v>0</v>
      </c>
    </row>
    <row r="13" spans="2:26" ht="19.5" customHeight="1" x14ac:dyDescent="0.3">
      <c r="B13" s="65"/>
      <c r="C13" s="30">
        <v>10</v>
      </c>
      <c r="D13" s="66" t="s">
        <v>54</v>
      </c>
      <c r="E13" s="67"/>
      <c r="F13" s="67"/>
      <c r="G13" s="67"/>
      <c r="H13" s="67"/>
      <c r="I13" s="67"/>
      <c r="J13" s="67"/>
      <c r="K13" s="67"/>
      <c r="L13" s="67"/>
      <c r="M13" s="68"/>
      <c r="N13" s="5"/>
      <c r="Q13" s="58">
        <v>7</v>
      </c>
      <c r="R13" s="6"/>
      <c r="S13" s="7"/>
      <c r="T13" s="16"/>
      <c r="U13" s="16"/>
      <c r="V13" s="7"/>
      <c r="W13" s="62">
        <f t="shared" si="2"/>
        <v>0</v>
      </c>
    </row>
    <row r="14" spans="2:26" ht="19.5" customHeight="1" x14ac:dyDescent="0.3">
      <c r="B14" s="65"/>
      <c r="C14" s="31">
        <v>11</v>
      </c>
      <c r="D14" s="66" t="s">
        <v>46</v>
      </c>
      <c r="E14" s="67"/>
      <c r="F14" s="67"/>
      <c r="G14" s="67"/>
      <c r="H14" s="67"/>
      <c r="I14" s="67"/>
      <c r="J14" s="67"/>
      <c r="K14" s="67"/>
      <c r="L14" s="67"/>
      <c r="M14" s="68"/>
      <c r="N14" s="5"/>
      <c r="Q14" s="58">
        <v>8</v>
      </c>
      <c r="R14" s="6"/>
      <c r="S14" s="7" t="b">
        <v>0</v>
      </c>
      <c r="T14" s="16"/>
      <c r="U14" s="16"/>
      <c r="V14" s="7"/>
      <c r="W14" s="62">
        <f t="shared" si="2"/>
        <v>0</v>
      </c>
    </row>
    <row r="15" spans="2:26" ht="19.5" customHeight="1" x14ac:dyDescent="0.3">
      <c r="B15" s="65"/>
      <c r="C15" s="32">
        <f t="shared" si="0"/>
        <v>12</v>
      </c>
      <c r="D15" s="66" t="s">
        <v>43</v>
      </c>
      <c r="E15" s="67"/>
      <c r="F15" s="67"/>
      <c r="G15" s="67"/>
      <c r="H15" s="67"/>
      <c r="I15" s="67"/>
      <c r="J15" s="67"/>
      <c r="K15" s="67"/>
      <c r="L15" s="67"/>
      <c r="M15" s="68"/>
      <c r="N15" s="5"/>
      <c r="Q15" s="58">
        <f t="shared" si="1"/>
        <v>9</v>
      </c>
      <c r="R15" s="6"/>
      <c r="S15" s="7" t="b">
        <v>0</v>
      </c>
      <c r="T15" s="16"/>
      <c r="U15" s="16"/>
      <c r="V15" s="7"/>
      <c r="W15" s="62">
        <f t="shared" si="2"/>
        <v>0</v>
      </c>
    </row>
    <row r="16" spans="2:26" ht="19.5" customHeight="1" x14ac:dyDescent="0.3">
      <c r="B16" s="65"/>
      <c r="C16" s="33">
        <f t="shared" si="0"/>
        <v>13</v>
      </c>
      <c r="D16" s="66" t="s">
        <v>44</v>
      </c>
      <c r="E16" s="67"/>
      <c r="F16" s="67"/>
      <c r="G16" s="67"/>
      <c r="H16" s="67"/>
      <c r="I16" s="67"/>
      <c r="J16" s="67"/>
      <c r="K16" s="67"/>
      <c r="L16" s="67"/>
      <c r="M16" s="68"/>
      <c r="N16" s="5"/>
      <c r="Q16" s="58">
        <f t="shared" si="1"/>
        <v>10</v>
      </c>
      <c r="R16" s="6"/>
      <c r="S16" s="7" t="b">
        <v>0</v>
      </c>
      <c r="T16" s="16"/>
      <c r="U16" s="16"/>
      <c r="V16" s="7"/>
      <c r="W16" s="62">
        <f t="shared" si="2"/>
        <v>0</v>
      </c>
    </row>
    <row r="17" spans="2:25" ht="19.5" customHeight="1" x14ac:dyDescent="0.3">
      <c r="B17" s="65"/>
      <c r="C17" s="34">
        <f t="shared" si="0"/>
        <v>14</v>
      </c>
      <c r="D17" s="66" t="s">
        <v>52</v>
      </c>
      <c r="E17" s="67"/>
      <c r="F17" s="67"/>
      <c r="G17" s="67"/>
      <c r="H17" s="67"/>
      <c r="I17" s="67"/>
      <c r="J17" s="67"/>
      <c r="K17" s="67"/>
      <c r="L17" s="67"/>
      <c r="M17" s="68"/>
      <c r="N17" s="5"/>
      <c r="Q17" s="58">
        <f t="shared" si="1"/>
        <v>11</v>
      </c>
      <c r="R17" s="6"/>
      <c r="S17" s="7" t="b">
        <v>0</v>
      </c>
      <c r="T17" s="16"/>
      <c r="U17" s="16"/>
      <c r="V17" s="7"/>
      <c r="W17" s="62">
        <f t="shared" si="2"/>
        <v>0</v>
      </c>
    </row>
    <row r="18" spans="2:25" ht="19.5" customHeight="1" thickBot="1" x14ac:dyDescent="0.35">
      <c r="B18" s="65"/>
      <c r="C18" s="35">
        <f t="shared" si="0"/>
        <v>15</v>
      </c>
      <c r="D18" s="66" t="s">
        <v>45</v>
      </c>
      <c r="E18" s="67"/>
      <c r="F18" s="67"/>
      <c r="G18" s="67"/>
      <c r="H18" s="67"/>
      <c r="I18" s="67"/>
      <c r="J18" s="67"/>
      <c r="K18" s="67"/>
      <c r="L18" s="67"/>
      <c r="M18" s="68"/>
      <c r="N18" s="5"/>
      <c r="Q18" s="59"/>
      <c r="R18" s="113" t="s">
        <v>59</v>
      </c>
      <c r="S18" s="114"/>
      <c r="T18" s="114"/>
      <c r="U18" s="114"/>
      <c r="V18" s="115"/>
      <c r="W18" s="63">
        <f>IF(OR(T7&gt;Z2,U7&gt;Z2,T8&gt;Z2,U8&gt;Z2,T9&gt;Z2,U9&gt;Z2,T10&gt;Z2,U10&gt;Z2,T11&gt;Z2,U11&gt;Z2,T14&gt;Z2,U14&gt;Z2,T15&gt;Z2,U15&gt;Z2,T16&gt;Z2,U16&gt;Z2,T17&gt;Z2,U17&gt;Z2), 65000,45000)</f>
        <v>45000</v>
      </c>
    </row>
    <row r="19" spans="2:25" ht="19.5" customHeight="1" thickTop="1" x14ac:dyDescent="0.3">
      <c r="B19" s="65"/>
      <c r="C19" s="36">
        <f t="shared" si="0"/>
        <v>16</v>
      </c>
      <c r="D19" s="66" t="s">
        <v>42</v>
      </c>
      <c r="E19" s="67"/>
      <c r="F19" s="67"/>
      <c r="G19" s="67"/>
      <c r="H19" s="67"/>
      <c r="I19" s="67"/>
      <c r="J19" s="67"/>
      <c r="K19" s="67"/>
      <c r="L19" s="67"/>
      <c r="M19" s="68"/>
      <c r="N19" s="5"/>
      <c r="U19" s="79" t="s">
        <v>17</v>
      </c>
      <c r="V19" s="79"/>
      <c r="W19" s="64">
        <f>SUM(W7:W18)</f>
        <v>2122840</v>
      </c>
    </row>
    <row r="20" spans="2:25" ht="19.5" customHeight="1" x14ac:dyDescent="0.3">
      <c r="B20" s="65"/>
      <c r="C20" s="37">
        <f t="shared" si="0"/>
        <v>17</v>
      </c>
      <c r="D20" s="66" t="s">
        <v>58</v>
      </c>
      <c r="E20" s="67"/>
      <c r="F20" s="67"/>
      <c r="G20" s="67"/>
      <c r="H20" s="67"/>
      <c r="I20" s="67"/>
      <c r="J20" s="67"/>
      <c r="K20" s="67"/>
      <c r="L20" s="67"/>
      <c r="M20" s="68"/>
      <c r="N20" s="5"/>
      <c r="R20" s="14" t="s">
        <v>10</v>
      </c>
      <c r="S20" s="18"/>
    </row>
    <row r="21" spans="2:25" ht="19.5" customHeight="1" x14ac:dyDescent="0.3">
      <c r="B21" s="65"/>
      <c r="C21" s="38">
        <f t="shared" si="0"/>
        <v>18</v>
      </c>
      <c r="D21" s="66"/>
      <c r="E21" s="67"/>
      <c r="F21" s="67"/>
      <c r="G21" s="67"/>
      <c r="H21" s="67"/>
      <c r="I21" s="67"/>
      <c r="J21" s="67"/>
      <c r="K21" s="67"/>
      <c r="L21" s="67"/>
      <c r="M21" s="68"/>
      <c r="N21" s="5"/>
      <c r="R21" s="15" t="s">
        <v>11</v>
      </c>
      <c r="S21" s="1"/>
    </row>
    <row r="22" spans="2:25" ht="19.5" customHeight="1" x14ac:dyDescent="0.3">
      <c r="B22" s="65"/>
      <c r="C22" s="39">
        <f>C21+1</f>
        <v>19</v>
      </c>
      <c r="D22" s="66"/>
      <c r="E22" s="67"/>
      <c r="F22" s="67"/>
      <c r="G22" s="67"/>
      <c r="H22" s="67"/>
      <c r="I22" s="67"/>
      <c r="J22" s="67"/>
      <c r="K22" s="67"/>
      <c r="L22" s="67"/>
      <c r="M22" s="68"/>
      <c r="N22" s="5"/>
      <c r="R22" s="50" t="s">
        <v>37</v>
      </c>
      <c r="S22" s="8"/>
      <c r="U22" s="9"/>
      <c r="V22" s="9"/>
      <c r="W22" s="9"/>
    </row>
    <row r="23" spans="2:25" ht="35.25" customHeight="1" thickBot="1" x14ac:dyDescent="0.35">
      <c r="B23" s="65"/>
      <c r="C23" s="39">
        <f t="shared" si="0"/>
        <v>20</v>
      </c>
      <c r="D23" s="80"/>
      <c r="E23" s="81"/>
      <c r="F23" s="81"/>
      <c r="G23" s="81"/>
      <c r="H23" s="81"/>
      <c r="I23" s="81"/>
      <c r="J23" s="81"/>
      <c r="K23" s="81"/>
      <c r="L23" s="81"/>
      <c r="M23" s="82"/>
      <c r="N23" s="10"/>
      <c r="R23" s="9"/>
      <c r="S23" s="20"/>
      <c r="U23" s="9"/>
      <c r="V23" s="9"/>
      <c r="W23" s="9"/>
    </row>
    <row r="24" spans="2:25" ht="19.5" customHeight="1" thickTop="1" x14ac:dyDescent="0.3">
      <c r="R24" s="21" t="s">
        <v>39</v>
      </c>
      <c r="S24" s="69"/>
      <c r="T24" s="70"/>
      <c r="U24" s="73" t="s">
        <v>38</v>
      </c>
      <c r="V24" s="74"/>
      <c r="W24" s="75"/>
    </row>
    <row r="25" spans="2:25" ht="19.5" customHeight="1" x14ac:dyDescent="0.3">
      <c r="R25" s="22" t="s">
        <v>41</v>
      </c>
      <c r="S25" s="71"/>
      <c r="T25" s="72"/>
      <c r="U25" s="76" t="s">
        <v>40</v>
      </c>
      <c r="V25" s="77"/>
      <c r="W25" s="78"/>
    </row>
    <row r="26" spans="2:25" ht="6.4" customHeight="1" x14ac:dyDescent="0.3">
      <c r="S26" s="51"/>
      <c r="T26" s="51"/>
      <c r="U26" s="52"/>
      <c r="V26" s="52"/>
      <c r="W26" s="52"/>
    </row>
    <row r="27" spans="2:25" ht="33.75" customHeight="1" x14ac:dyDescent="0.3">
      <c r="O27" s="132" t="s">
        <v>24</v>
      </c>
      <c r="P27" s="132"/>
      <c r="Q27" s="132"/>
      <c r="R27" s="132"/>
      <c r="S27" s="132"/>
      <c r="T27" s="132"/>
      <c r="U27" s="132"/>
      <c r="V27" s="132"/>
      <c r="W27" s="132"/>
      <c r="Y27" s="40"/>
    </row>
    <row r="28" spans="2:25" ht="19.5" customHeight="1" x14ac:dyDescent="0.3">
      <c r="E28" s="92" t="s">
        <v>9</v>
      </c>
      <c r="F28" s="92"/>
      <c r="G28" s="92"/>
      <c r="H28" s="92"/>
      <c r="I28" s="92"/>
      <c r="J28" s="92"/>
      <c r="K28" s="92"/>
      <c r="L28" s="92"/>
      <c r="O28" s="131" t="s">
        <v>61</v>
      </c>
      <c r="P28" s="131"/>
      <c r="Q28" s="131"/>
      <c r="R28" s="131"/>
      <c r="S28" s="131"/>
      <c r="T28" s="131"/>
      <c r="U28" s="131"/>
      <c r="V28" s="131"/>
      <c r="W28" s="131"/>
      <c r="Y28" s="40"/>
    </row>
    <row r="29" spans="2:25" ht="19.5" customHeight="1" x14ac:dyDescent="0.3">
      <c r="F29" s="111"/>
      <c r="G29" s="111"/>
      <c r="H29" s="111"/>
      <c r="I29" s="111"/>
      <c r="J29" s="111"/>
      <c r="K29" s="111"/>
      <c r="M29" s="93"/>
      <c r="N29" s="93"/>
      <c r="O29" s="131"/>
      <c r="P29" s="131"/>
      <c r="Q29" s="131"/>
      <c r="R29" s="131"/>
      <c r="S29" s="131"/>
      <c r="T29" s="131"/>
      <c r="U29" s="131"/>
      <c r="V29" s="131"/>
      <c r="W29" s="131"/>
      <c r="Y29" s="40"/>
    </row>
    <row r="30" spans="2:25" ht="19.5" customHeight="1" x14ac:dyDescent="0.3">
      <c r="F30" s="44" t="s">
        <v>27</v>
      </c>
      <c r="G30" s="45" t="s">
        <v>28</v>
      </c>
      <c r="H30" s="46" t="s">
        <v>29</v>
      </c>
      <c r="I30" s="105" t="s">
        <v>30</v>
      </c>
      <c r="J30" s="106"/>
      <c r="K30" s="107"/>
      <c r="L30" s="11"/>
      <c r="M30" s="93" t="s">
        <v>14</v>
      </c>
      <c r="N30" s="93"/>
      <c r="O30" s="131"/>
      <c r="P30" s="131"/>
      <c r="Q30" s="131"/>
      <c r="R30" s="131"/>
      <c r="S30" s="131"/>
      <c r="T30" s="131"/>
      <c r="U30" s="131"/>
      <c r="V30" s="131"/>
      <c r="W30" s="131"/>
      <c r="Y30" s="40"/>
    </row>
    <row r="31" spans="2:25" ht="19.5" customHeight="1" x14ac:dyDescent="0.3">
      <c r="F31" s="108" t="s">
        <v>31</v>
      </c>
      <c r="G31" s="109"/>
      <c r="H31" s="109"/>
      <c r="I31" s="109" t="s">
        <v>32</v>
      </c>
      <c r="J31" s="109"/>
      <c r="K31" s="110"/>
      <c r="L31" s="11"/>
      <c r="M31" s="93" t="s">
        <v>15</v>
      </c>
      <c r="N31" s="93"/>
      <c r="O31" s="131" t="s">
        <v>62</v>
      </c>
      <c r="P31" s="131"/>
      <c r="Q31" s="131"/>
      <c r="R31" s="131"/>
      <c r="S31" s="131"/>
      <c r="T31" s="131"/>
      <c r="U31" s="131"/>
      <c r="V31" s="131"/>
      <c r="W31" s="131"/>
      <c r="Y31" s="40"/>
    </row>
    <row r="32" spans="2:25" ht="19.5" customHeight="1" x14ac:dyDescent="0.3">
      <c r="F32" s="99"/>
      <c r="G32" s="100"/>
      <c r="H32" s="100"/>
      <c r="I32" s="100"/>
      <c r="J32" s="100"/>
      <c r="K32" s="101"/>
      <c r="L32" s="12"/>
      <c r="M32" s="93" t="s">
        <v>12</v>
      </c>
      <c r="N32" s="93"/>
      <c r="O32" s="131"/>
      <c r="P32" s="131"/>
      <c r="Q32" s="131"/>
      <c r="R32" s="131"/>
      <c r="S32" s="131"/>
      <c r="T32" s="131"/>
      <c r="U32" s="131"/>
      <c r="V32" s="131"/>
      <c r="W32" s="131"/>
      <c r="Y32" s="40"/>
    </row>
    <row r="33" spans="6:25" ht="19.5" customHeight="1" x14ac:dyDescent="0.3">
      <c r="F33" s="102"/>
      <c r="G33" s="103"/>
      <c r="H33" s="103"/>
      <c r="I33" s="103"/>
      <c r="J33" s="103"/>
      <c r="K33" s="104"/>
      <c r="M33" s="93"/>
      <c r="N33" s="93"/>
      <c r="O33" s="131"/>
      <c r="P33" s="131"/>
      <c r="Q33" s="131"/>
      <c r="R33" s="131"/>
      <c r="S33" s="131"/>
      <c r="T33" s="131"/>
      <c r="U33" s="131"/>
      <c r="V33" s="131"/>
      <c r="W33" s="131"/>
      <c r="Y33" s="40"/>
    </row>
    <row r="34" spans="6:25" ht="23.25" customHeight="1" x14ac:dyDescent="0.3">
      <c r="F34" s="7"/>
      <c r="G34" s="47" t="s">
        <v>23</v>
      </c>
      <c r="H34" s="7"/>
      <c r="I34" s="47" t="s">
        <v>22</v>
      </c>
      <c r="J34" s="7"/>
      <c r="K34" s="48" t="s">
        <v>21</v>
      </c>
      <c r="L34" s="3"/>
      <c r="M34" s="93"/>
      <c r="N34" s="93"/>
      <c r="O34" s="125" t="s">
        <v>63</v>
      </c>
      <c r="P34" s="126"/>
      <c r="Q34" s="126"/>
      <c r="R34" s="126"/>
      <c r="S34" s="126"/>
      <c r="T34" s="126"/>
      <c r="U34" s="126"/>
      <c r="V34" s="126"/>
      <c r="W34" s="127"/>
      <c r="Y34" s="40"/>
    </row>
    <row r="35" spans="6:25" ht="23.25" customHeight="1" x14ac:dyDescent="0.3">
      <c r="F35" s="49"/>
      <c r="G35" s="94"/>
      <c r="H35" s="95"/>
      <c r="I35" s="96"/>
      <c r="J35" s="97" t="s">
        <v>19</v>
      </c>
      <c r="K35" s="98"/>
      <c r="O35" s="128"/>
      <c r="P35" s="129"/>
      <c r="Q35" s="129"/>
      <c r="R35" s="129"/>
      <c r="S35" s="129"/>
      <c r="T35" s="129"/>
      <c r="U35" s="129"/>
      <c r="V35" s="129"/>
      <c r="W35" s="130"/>
      <c r="Y35" s="40"/>
    </row>
    <row r="36" spans="6:25" ht="22.5" customHeight="1" x14ac:dyDescent="0.3">
      <c r="F36" s="94" t="s">
        <v>33</v>
      </c>
      <c r="G36" s="95"/>
      <c r="H36" s="95"/>
      <c r="I36" s="95"/>
      <c r="J36" s="95"/>
      <c r="K36" s="96"/>
      <c r="M36" s="93" t="s">
        <v>36</v>
      </c>
      <c r="N36" s="93"/>
      <c r="O36" s="125" t="s">
        <v>64</v>
      </c>
      <c r="P36" s="126"/>
      <c r="Q36" s="126"/>
      <c r="R36" s="126"/>
      <c r="S36" s="126"/>
      <c r="T36" s="126"/>
      <c r="U36" s="126"/>
      <c r="V36" s="126"/>
      <c r="W36" s="127"/>
      <c r="Y36" s="40"/>
    </row>
    <row r="37" spans="6:25" ht="19.5" customHeight="1" x14ac:dyDescent="0.3">
      <c r="O37" s="128"/>
      <c r="P37" s="129"/>
      <c r="Q37" s="129"/>
      <c r="R37" s="129"/>
      <c r="S37" s="129"/>
      <c r="T37" s="129"/>
      <c r="U37" s="129"/>
      <c r="V37" s="129"/>
      <c r="W37" s="130"/>
    </row>
  </sheetData>
  <sheetProtection selectLockedCells="1"/>
  <mergeCells count="58">
    <mergeCell ref="O34:W35"/>
    <mergeCell ref="O36:W37"/>
    <mergeCell ref="O28:W30"/>
    <mergeCell ref="O31:W33"/>
    <mergeCell ref="O27:W27"/>
    <mergeCell ref="Q3:T3"/>
    <mergeCell ref="R18:V18"/>
    <mergeCell ref="U1:W1"/>
    <mergeCell ref="U2:V2"/>
    <mergeCell ref="V5:V6"/>
    <mergeCell ref="T5:U5"/>
    <mergeCell ref="Q5:Q6"/>
    <mergeCell ref="R5:R6"/>
    <mergeCell ref="E28:L28"/>
    <mergeCell ref="M34:N34"/>
    <mergeCell ref="G35:I35"/>
    <mergeCell ref="J35:K35"/>
    <mergeCell ref="F36:K36"/>
    <mergeCell ref="M36:N36"/>
    <mergeCell ref="M29:N29"/>
    <mergeCell ref="F32:K33"/>
    <mergeCell ref="M32:N33"/>
    <mergeCell ref="I30:K30"/>
    <mergeCell ref="F31:H31"/>
    <mergeCell ref="I31:K31"/>
    <mergeCell ref="M31:N31"/>
    <mergeCell ref="M30:N30"/>
    <mergeCell ref="F29:K29"/>
    <mergeCell ref="C2:C3"/>
    <mergeCell ref="N2:N3"/>
    <mergeCell ref="D3:M3"/>
    <mergeCell ref="D2:M2"/>
    <mergeCell ref="D19:M19"/>
    <mergeCell ref="D5:M5"/>
    <mergeCell ref="D6:M6"/>
    <mergeCell ref="D7:M7"/>
    <mergeCell ref="D9:M9"/>
    <mergeCell ref="D4:M4"/>
    <mergeCell ref="D14:M14"/>
    <mergeCell ref="D15:M15"/>
    <mergeCell ref="D18:M18"/>
    <mergeCell ref="D10:M10"/>
    <mergeCell ref="D8:M8"/>
    <mergeCell ref="B4:B23"/>
    <mergeCell ref="D11:M11"/>
    <mergeCell ref="S24:T24"/>
    <mergeCell ref="S25:T25"/>
    <mergeCell ref="U24:W24"/>
    <mergeCell ref="U25:W25"/>
    <mergeCell ref="D20:M20"/>
    <mergeCell ref="U19:V19"/>
    <mergeCell ref="D16:M16"/>
    <mergeCell ref="D17:M17"/>
    <mergeCell ref="D21:M21"/>
    <mergeCell ref="D22:M22"/>
    <mergeCell ref="D23:M23"/>
    <mergeCell ref="D12:M12"/>
    <mergeCell ref="D13:M13"/>
  </mergeCells>
  <hyperlinks>
    <hyperlink ref="R22" r:id="rId1" xr:uid="{00000000-0004-0000-0000-000000000000}"/>
  </hyperlinks>
  <printOptions horizontalCentered="1"/>
  <pageMargins left="0.25" right="0.25" top="0.75" bottom="0.75" header="0.3" footer="0.3"/>
  <pageSetup paperSize="8" orientation="landscape" r:id="rId2"/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89" r:id="rId5" name="Check Box 41">
              <controlPr defaultSize="0" autoFill="0" autoLine="0" autoPict="0">
                <anchor moveWithCells="1">
                  <from>
                    <xdr:col>13</xdr:col>
                    <xdr:colOff>209550</xdr:colOff>
                    <xdr:row>13</xdr:row>
                    <xdr:rowOff>9525</xdr:rowOff>
                  </from>
                  <to>
                    <xdr:col>13</xdr:col>
                    <xdr:colOff>447675</xdr:colOff>
                    <xdr:row>13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5" r:id="rId6" name="Check Box 57">
              <controlPr defaultSize="0" autoFill="0" autoLine="0" autoPict="0">
                <anchor moveWithCells="1">
                  <from>
                    <xdr:col>13</xdr:col>
                    <xdr:colOff>200025</xdr:colOff>
                    <xdr:row>10</xdr:row>
                    <xdr:rowOff>9525</xdr:rowOff>
                  </from>
                  <to>
                    <xdr:col>13</xdr:col>
                    <xdr:colOff>438150</xdr:colOff>
                    <xdr:row>10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8" r:id="rId7" name="Check Box 60">
              <controlPr defaultSize="0" autoFill="0" autoLine="0" autoPict="0">
                <anchor moveWithCells="1">
                  <from>
                    <xdr:col>13</xdr:col>
                    <xdr:colOff>200025</xdr:colOff>
                    <xdr:row>9</xdr:row>
                    <xdr:rowOff>0</xdr:rowOff>
                  </from>
                  <to>
                    <xdr:col>13</xdr:col>
                    <xdr:colOff>438150</xdr:colOff>
                    <xdr:row>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3" r:id="rId8" name="Check Box 65">
              <controlPr defaultSize="0" autoFill="0" autoLine="0" autoPict="0">
                <anchor moveWithCells="1">
                  <from>
                    <xdr:col>13</xdr:col>
                    <xdr:colOff>200025</xdr:colOff>
                    <xdr:row>8</xdr:row>
                    <xdr:rowOff>0</xdr:rowOff>
                  </from>
                  <to>
                    <xdr:col>13</xdr:col>
                    <xdr:colOff>438150</xdr:colOff>
                    <xdr:row>8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8" r:id="rId9" name="Check Box 70">
              <controlPr defaultSize="0" autoFill="0" autoLine="0" autoPict="0">
                <anchor moveWithCells="1">
                  <from>
                    <xdr:col>13</xdr:col>
                    <xdr:colOff>200025</xdr:colOff>
                    <xdr:row>7</xdr:row>
                    <xdr:rowOff>0</xdr:rowOff>
                  </from>
                  <to>
                    <xdr:col>13</xdr:col>
                    <xdr:colOff>438150</xdr:colOff>
                    <xdr:row>7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3" r:id="rId10" name="Check Box 75">
              <controlPr defaultSize="0" autoFill="0" autoLine="0" autoPict="0">
                <anchor moveWithCells="1">
                  <from>
                    <xdr:col>13</xdr:col>
                    <xdr:colOff>209550</xdr:colOff>
                    <xdr:row>6</xdr:row>
                    <xdr:rowOff>0</xdr:rowOff>
                  </from>
                  <to>
                    <xdr:col>13</xdr:col>
                    <xdr:colOff>447675</xdr:colOff>
                    <xdr:row>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8" r:id="rId11" name="Check Box 80">
              <controlPr defaultSize="0" autoFill="0" autoLine="0" autoPict="0">
                <anchor moveWithCells="1">
                  <from>
                    <xdr:col>13</xdr:col>
                    <xdr:colOff>209550</xdr:colOff>
                    <xdr:row>5</xdr:row>
                    <xdr:rowOff>9525</xdr:rowOff>
                  </from>
                  <to>
                    <xdr:col>13</xdr:col>
                    <xdr:colOff>447675</xdr:colOff>
                    <xdr:row>5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3" r:id="rId12" name="Check Box 85">
              <controlPr defaultSize="0" autoFill="0" autoLine="0" autoPict="0">
                <anchor moveWithCells="1">
                  <from>
                    <xdr:col>13</xdr:col>
                    <xdr:colOff>200025</xdr:colOff>
                    <xdr:row>4</xdr:row>
                    <xdr:rowOff>0</xdr:rowOff>
                  </from>
                  <to>
                    <xdr:col>13</xdr:col>
                    <xdr:colOff>438150</xdr:colOff>
                    <xdr:row>4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2" r:id="rId13" name="Check Box 94">
              <controlPr defaultSize="0" autoFill="0" autoLine="0" autoPict="0">
                <anchor moveWithCells="1">
                  <from>
                    <xdr:col>13</xdr:col>
                    <xdr:colOff>200025</xdr:colOff>
                    <xdr:row>3</xdr:row>
                    <xdr:rowOff>9525</xdr:rowOff>
                  </from>
                  <to>
                    <xdr:col>13</xdr:col>
                    <xdr:colOff>438150</xdr:colOff>
                    <xdr:row>3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7" r:id="rId14" name="Check Box 39">
              <controlPr defaultSize="0" autoFill="0" autoLine="0" autoPict="0">
                <anchor moveWithCells="1">
                  <from>
                    <xdr:col>13</xdr:col>
                    <xdr:colOff>209550</xdr:colOff>
                    <xdr:row>15</xdr:row>
                    <xdr:rowOff>9525</xdr:rowOff>
                  </from>
                  <to>
                    <xdr:col>13</xdr:col>
                    <xdr:colOff>447675</xdr:colOff>
                    <xdr:row>15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0" r:id="rId15" name="Check Box 42">
              <controlPr defaultSize="0" autoFill="0" autoLine="0" autoPict="0">
                <anchor moveWithCells="1">
                  <from>
                    <xdr:col>13</xdr:col>
                    <xdr:colOff>209550</xdr:colOff>
                    <xdr:row>14</xdr:row>
                    <xdr:rowOff>0</xdr:rowOff>
                  </from>
                  <to>
                    <xdr:col>13</xdr:col>
                    <xdr:colOff>447675</xdr:colOff>
                    <xdr:row>14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8" r:id="rId16" name="Check Box 40">
              <controlPr defaultSize="0" autoFill="0" autoLine="0" autoPict="0">
                <anchor moveWithCells="1">
                  <from>
                    <xdr:col>13</xdr:col>
                    <xdr:colOff>209550</xdr:colOff>
                    <xdr:row>16</xdr:row>
                    <xdr:rowOff>9525</xdr:rowOff>
                  </from>
                  <to>
                    <xdr:col>13</xdr:col>
                    <xdr:colOff>447675</xdr:colOff>
                    <xdr:row>16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36" r:id="rId17" name="Check Box 488">
              <controlPr defaultSize="0" autoFill="0" autoLine="0" autoPict="0">
                <anchor moveWithCells="1">
                  <from>
                    <xdr:col>13</xdr:col>
                    <xdr:colOff>209550</xdr:colOff>
                    <xdr:row>18</xdr:row>
                    <xdr:rowOff>9525</xdr:rowOff>
                  </from>
                  <to>
                    <xdr:col>13</xdr:col>
                    <xdr:colOff>447675</xdr:colOff>
                    <xdr:row>18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38" r:id="rId18" name="Check Box 490">
              <controlPr defaultSize="0" autoFill="0" autoLine="0" autoPict="0">
                <anchor moveWithCells="1">
                  <from>
                    <xdr:col>13</xdr:col>
                    <xdr:colOff>209550</xdr:colOff>
                    <xdr:row>19</xdr:row>
                    <xdr:rowOff>9525</xdr:rowOff>
                  </from>
                  <to>
                    <xdr:col>13</xdr:col>
                    <xdr:colOff>447675</xdr:colOff>
                    <xdr:row>19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40" r:id="rId19" name="Check Box 492">
              <controlPr defaultSize="0" autoFill="0" autoLine="0" autoPict="0">
                <anchor moveWithCells="1">
                  <from>
                    <xdr:col>13</xdr:col>
                    <xdr:colOff>209550</xdr:colOff>
                    <xdr:row>20</xdr:row>
                    <xdr:rowOff>9525</xdr:rowOff>
                  </from>
                  <to>
                    <xdr:col>13</xdr:col>
                    <xdr:colOff>447675</xdr:colOff>
                    <xdr:row>20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29" r:id="rId20" name="Check Box 481">
              <controlPr defaultSize="0" autoFill="0" autoLine="0" autoPict="0">
                <anchor moveWithCells="1">
                  <from>
                    <xdr:col>13</xdr:col>
                    <xdr:colOff>209550</xdr:colOff>
                    <xdr:row>17</xdr:row>
                    <xdr:rowOff>9525</xdr:rowOff>
                  </from>
                  <to>
                    <xdr:col>13</xdr:col>
                    <xdr:colOff>447675</xdr:colOff>
                    <xdr:row>17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43" r:id="rId21" name="Check Box 495">
              <controlPr defaultSize="0" autoFill="0" autoLine="0" autoPict="0">
                <anchor moveWithCells="1">
                  <from>
                    <xdr:col>13</xdr:col>
                    <xdr:colOff>209550</xdr:colOff>
                    <xdr:row>21</xdr:row>
                    <xdr:rowOff>9525</xdr:rowOff>
                  </from>
                  <to>
                    <xdr:col>13</xdr:col>
                    <xdr:colOff>447675</xdr:colOff>
                    <xdr:row>21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24" r:id="rId22" name="Check Box 576">
              <controlPr defaultSize="0" autoFill="0" autoLine="0" autoPict="0">
                <anchor moveWithCells="1">
                  <from>
                    <xdr:col>13</xdr:col>
                    <xdr:colOff>200025</xdr:colOff>
                    <xdr:row>11</xdr:row>
                    <xdr:rowOff>9525</xdr:rowOff>
                  </from>
                  <to>
                    <xdr:col>13</xdr:col>
                    <xdr:colOff>438150</xdr:colOff>
                    <xdr:row>11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25" r:id="rId23" name="Check Box 577">
              <controlPr defaultSize="0" autoFill="0" autoLine="0" autoPict="0">
                <anchor moveWithCells="1">
                  <from>
                    <xdr:col>13</xdr:col>
                    <xdr:colOff>200025</xdr:colOff>
                    <xdr:row>12</xdr:row>
                    <xdr:rowOff>9525</xdr:rowOff>
                  </from>
                  <to>
                    <xdr:col>13</xdr:col>
                    <xdr:colOff>438150</xdr:colOff>
                    <xdr:row>12</xdr:row>
                    <xdr:rowOff>238125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Prophet</cp:lastModifiedBy>
  <cp:lastPrinted>2026-04-19T11:19:51Z</cp:lastPrinted>
  <dcterms:created xsi:type="dcterms:W3CDTF">2024-11-22T12:18:37Z</dcterms:created>
  <dcterms:modified xsi:type="dcterms:W3CDTF">2026-04-25T20:24:46Z</dcterms:modified>
</cp:coreProperties>
</file>