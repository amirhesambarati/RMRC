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\Desktop\Panels\"/>
    </mc:Choice>
  </mc:AlternateContent>
  <bookViews>
    <workbookView showHorizontalScroll="0" showVerticalScroll="0" showSheetTabs="0" xWindow="0" yWindow="0" windowWidth="25200" windowHeight="1188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5" i="2" l="1"/>
  <c r="W14" i="2" l="1"/>
  <c r="W13" i="2"/>
  <c r="W12" i="2"/>
  <c r="W11" i="2"/>
  <c r="W10" i="2"/>
  <c r="W9" i="2"/>
  <c r="W8" i="2"/>
  <c r="W7" i="2" l="1"/>
  <c r="AB7" i="2"/>
  <c r="AB14" i="2" l="1"/>
  <c r="AB13" i="2"/>
  <c r="AB12" i="2"/>
  <c r="AB11" i="2"/>
  <c r="AB10" i="2"/>
  <c r="AB9" i="2"/>
  <c r="AB8" i="2"/>
  <c r="W16" i="2" l="1"/>
  <c r="W17" i="2" l="1"/>
  <c r="P8" i="2"/>
  <c r="P9" i="2" s="1"/>
  <c r="P10" i="2" s="1"/>
  <c r="P11" i="2" s="1"/>
  <c r="P12" i="2" s="1"/>
  <c r="P13" i="2" s="1"/>
  <c r="P14" i="2" s="1"/>
  <c r="P15" i="2" s="1"/>
  <c r="P16" i="2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</calcChain>
</file>

<file path=xl/comments1.xml><?xml version="1.0" encoding="utf-8"?>
<comments xmlns="http://schemas.openxmlformats.org/spreadsheetml/2006/main">
  <authors>
    <author>a</author>
  </authors>
  <commentList>
    <comment ref="M2" authorId="0" shapeId="0">
      <text>
        <r>
          <rPr>
            <b/>
            <sz val="11"/>
            <color indexed="81"/>
            <rFont val="Tahoma"/>
            <family val="2"/>
          </rPr>
          <t>در کادر مقابل، موارد گفته شده را بدقت رعایت کرده و گزینه مربوطه را تیک بزنید</t>
        </r>
      </text>
    </comment>
    <comment ref="V16" authorId="0" shapeId="0">
      <text>
        <r>
          <rPr>
            <b/>
            <sz val="11"/>
            <color indexed="81"/>
            <rFont val="Tahoma"/>
            <family val="2"/>
          </rPr>
          <t>اگر halfPad دارید، کافیست فقط تعداد HalfPadها را وارد کنید</t>
        </r>
      </text>
    </comment>
    <comment ref="M17" authorId="0" shapeId="0">
      <text>
        <r>
          <rPr>
            <b/>
            <sz val="11"/>
            <color indexed="81"/>
            <rFont val="Tahoma"/>
            <family val="2"/>
          </rPr>
          <t>با کلیک روی CheckBox 
میتوانید تیک بزنید</t>
        </r>
      </text>
    </comment>
    <comment ref="W17" authorId="0" shapeId="0">
      <text>
        <r>
          <rPr>
            <b/>
            <sz val="11"/>
            <color indexed="81"/>
            <rFont val="Tahoma"/>
            <family val="2"/>
          </rPr>
          <t>درصورتیکه ابعاد به درستی وارد شده باشد،
معادل مبلغ "جمع کل" را، میتوانید به یکی از شماره کارت های روبرو واریز کرده و فیش واریزی را به آی دی تلگرام S_Yazdaan@ ارسال فرمایید. لازم به ذکر است مبالغ بالای یک میلیون تومان را مستقیماً بحساب خود آقای ارجمندی واریز کنید</t>
        </r>
      </text>
    </comment>
    <comment ref="C21" authorId="0" shapeId="0">
      <text>
        <r>
          <rPr>
            <b/>
            <sz val="11"/>
            <color indexed="81"/>
            <rFont val="Tahoma"/>
            <family val="2"/>
          </rPr>
          <t>اگر سفارش گربر دارید حتما این تیک زده شود</t>
        </r>
      </text>
    </comment>
    <comment ref="D25" authorId="0" shapeId="0">
      <text>
        <r>
          <rPr>
            <b/>
            <sz val="11"/>
            <color indexed="81"/>
            <rFont val="Tahoma"/>
            <family val="2"/>
          </rPr>
          <t>در جدول زیر، طبق فرمت خواسته شده، موارد را تکمیل نمایید</t>
        </r>
      </text>
    </comment>
  </commentList>
</comments>
</file>

<file path=xl/sharedStrings.xml><?xml version="1.0" encoding="utf-8"?>
<sst xmlns="http://schemas.openxmlformats.org/spreadsheetml/2006/main" count="74" uniqueCount="73">
  <si>
    <t>ردیف</t>
  </si>
  <si>
    <t>وضعیت</t>
  </si>
  <si>
    <t>آی دی تلگرام :</t>
  </si>
  <si>
    <t>مشخصات فایل های ارسالی</t>
  </si>
  <si>
    <t xml:space="preserve">طول </t>
  </si>
  <si>
    <t>عرض</t>
  </si>
  <si>
    <t>تعداد سفارش</t>
  </si>
  <si>
    <t>تومان</t>
  </si>
  <si>
    <t>قیمت حدودی</t>
  </si>
  <si>
    <t>( تومان )</t>
  </si>
  <si>
    <t>مشخصات سفارش دهنده</t>
  </si>
  <si>
    <t>6037-6977-0526-0419</t>
  </si>
  <si>
    <t>بنام عباس احمدی‌زاده نزد بانک صادرات</t>
  </si>
  <si>
    <t>MyOrder.PCB@Gmail.Com</t>
  </si>
  <si>
    <t>آدرس :</t>
  </si>
  <si>
    <t>قیمت هرسانت مربع :</t>
  </si>
  <si>
    <t>HalfPad</t>
  </si>
  <si>
    <t xml:space="preserve">تعداد HalfPad </t>
  </si>
  <si>
    <t>نام و شماره موبایل :</t>
  </si>
  <si>
    <t>استان و شهر :</t>
  </si>
  <si>
    <r>
      <t xml:space="preserve">ابعاد </t>
    </r>
    <r>
      <rPr>
        <b/>
        <sz val="10"/>
        <color theme="1"/>
        <rFont val="Calibri"/>
        <family val="2"/>
      </rPr>
      <t>( mm )</t>
    </r>
  </si>
  <si>
    <r>
      <t xml:space="preserve">جمع کل </t>
    </r>
    <r>
      <rPr>
        <sz val="11"/>
        <color theme="1"/>
        <rFont val="Calibri"/>
        <family val="2"/>
      </rPr>
      <t>تومان</t>
    </r>
  </si>
  <si>
    <t>حداقل سایز</t>
  </si>
  <si>
    <t xml:space="preserve">کد پستی </t>
  </si>
  <si>
    <t>چک لیست سفارش مدارچاپی     CheapProject</t>
  </si>
  <si>
    <t xml:space="preserve">پلاک </t>
  </si>
  <si>
    <t xml:space="preserve">طبقه </t>
  </si>
  <si>
    <t xml:space="preserve">واحد </t>
  </si>
  <si>
    <r>
      <t xml:space="preserve">اسم فایل </t>
    </r>
    <r>
      <rPr>
        <sz val="11"/>
        <color theme="1"/>
        <rFont val="Calibri"/>
        <family val="2"/>
      </rPr>
      <t>( در ردیفها، اسامی فایلهای PCB ی که در فایل ZIP شده وجود دارد را مرقوم بفرمایید )</t>
    </r>
  </si>
  <si>
    <t>09XX</t>
  </si>
  <si>
    <t>XXX</t>
  </si>
  <si>
    <t>XXXX</t>
  </si>
  <si>
    <t>@ُShalamRoud</t>
  </si>
  <si>
    <t>به نکات زیر کمی زیادی توجه بفرمایید :</t>
  </si>
  <si>
    <t xml:space="preserve">1 - ارسال ( ایمیل ) این فایل و فایلهای همراه، بمنزله تایید همه موارد یاد شده در جدول بالا ( چک لیست سفارش ) و رعایت دقیق آنهاست ( چه تیک بخورد و چه نخورد ). بنابراین مسئولیت عدم رعایت نکات یاد شده که منجر به ساخت PCB معیوب شود، برعهده خود شماست. </t>
  </si>
  <si>
    <t xml:space="preserve">2 - در اکثر موارد، مبنا بر اینست که پس از تذکر اصلاح احتمالی محتوای فایلها، موارد کاملاً از طرف شما تصحیح شده و مجدد ارسال ( تلگرام ) گردد. دقت شود که اسامی فایلها تغییر نکند. در صورت عدم تصحیح، مسئولیت این اقدام کاملا با خود شماست.  </t>
  </si>
  <si>
    <t>6104-3374-0350-6965</t>
  </si>
  <si>
    <t>شماره کارت</t>
  </si>
  <si>
    <t>IR430120000000008888459686</t>
  </si>
  <si>
    <t>شماره شبا</t>
  </si>
  <si>
    <t>حسنی تک و تنها بود</t>
  </si>
  <si>
    <t>دوستانی که فایل گربر ارسال میکنند رعایت نکات زیر الزامی‌تر است :</t>
  </si>
  <si>
    <t>استان ناکجاآباد</t>
  </si>
  <si>
    <t>شهر شلمرود</t>
  </si>
  <si>
    <t>فایل گربر</t>
  </si>
  <si>
    <t xml:space="preserve">  Gerber_File.Zip</t>
  </si>
  <si>
    <t>حمیدرضا خلیل ارجمندی</t>
  </si>
  <si>
    <t>نزد بانک ملت</t>
  </si>
  <si>
    <t xml:space="preserve"> </t>
  </si>
  <si>
    <t xml:space="preserve">  حداقل پهنای رسانا   0.2mm   است و ترک زیر 0.2mm ندارم</t>
  </si>
  <si>
    <t xml:space="preserve">  حداقل فاصله رساناها از هم  0.2mm  است و این مورد رو در سفارشم رعایت کرده‌ام</t>
  </si>
  <si>
    <t xml:space="preserve">  حداقل   Annular Ring   برابر با   0.15mm   است</t>
  </si>
  <si>
    <t xml:space="preserve">  حداقل فاصله مس از سوراخ 0.3mm است ( منظور سوراخ غیر از Via و Pad است)</t>
  </si>
  <si>
    <t xml:space="preserve">  زوایای حاده ( sliver ) در لایه‌های رسانا ندارم</t>
  </si>
  <si>
    <t xml:space="preserve">  حداقل پهنا یا   bridge   مربوط به چاپ محافظ 0.2mm  است</t>
  </si>
  <si>
    <t xml:space="preserve">  حداقل فاصله مس از لبه برد   0.2mm   است</t>
  </si>
  <si>
    <t xml:space="preserve">  پلیگان ها طبق دستور العمل تنظیم شده است</t>
  </si>
  <si>
    <t xml:space="preserve">  بیرون زدگی های مارکاژ از محدوده برد حذف شده است</t>
  </si>
  <si>
    <t xml:space="preserve">من بعنوان سفارش‌دهنده همه موارد را خوانده و در فایلهای خود، عمل کرده و تیک زده‌ام </t>
  </si>
  <si>
    <r>
      <t xml:space="preserve">هزینه پیک جمعی و بسته بندی </t>
    </r>
    <r>
      <rPr>
        <b/>
        <sz val="14"/>
        <color theme="1"/>
        <rFont val="Calibri"/>
        <family val="2"/>
      </rPr>
      <t>( هزینه پست نیست )</t>
    </r>
  </si>
  <si>
    <t xml:space="preserve">  حداقل فاصله لبه سوراخ ها از هم   0.3mm   است</t>
  </si>
  <si>
    <t xml:space="preserve">  برش‌های داخل و اطراف برد، در لایه  KeepOut  و با خطوط 0.2mm رسم شده‌اند</t>
  </si>
  <si>
    <t xml:space="preserve">  فقط سوراخکاریهای بشکل شکاف، از نوع slot هستند و سوراخهای مکرر کنار هم ندارم</t>
  </si>
  <si>
    <t xml:space="preserve">  حداقل عرض برش های داخلی   0.8mm   است</t>
  </si>
  <si>
    <t xml:space="preserve">  چاپ راهنما ( مارکاژ ) با نقاطی که چاپ محافظ ( سبز ) ندارد، همپوشانی ندارد</t>
  </si>
  <si>
    <t>به ترتیب اولویت، از بالا به پایین</t>
  </si>
  <si>
    <t xml:space="preserve">  حداقل سوراخکاری   0.4mm   را برای Padها و Viaها رعایت کرده‌ام</t>
  </si>
  <si>
    <t xml:space="preserve">  مفاد مربوط به سفارش گربر را خوانده‌ام و به عواقب عدم رعایت آن آگاهم</t>
  </si>
  <si>
    <t xml:space="preserve">4 - بنا بر ابعادی که داخل چک لیست ( همین فایل ) وارد کردید، یک فایل PCB با فرمت آلتیوم با ابعاد دقیق، در لایه KeepOut رسم  کرده و در لایه Top، اسم فایل zip حاوی اطلاعات gerber رو بصورت String در وسط فایل با ابعادی مناسب ( که هم خوانده بشه و هم فضای طولی برد شما رو بگیره ) قرار دهید </t>
  </si>
  <si>
    <t xml:space="preserve">5 - چون با ابزارهایی که ما در اختیار داریم ، قادر به چک فایل شما نیستیم، پس رعایت مواردی که در چک لیست بالا عنوان شده، بیشتر باید مورد توجه شما باشد. چون بدلیل عدم رعایت آنها، و احتمال آسیب به بردهای کناری، در صورتیکه کوچکترین ایرادی موجود باشد، فایل شما چاپ نشده و هزینه هم عودت نمیشود.  </t>
  </si>
  <si>
    <t xml:space="preserve">3 - قیمت کل جدول بالا، معادل قیمت نهایی است. بشرطیکه ابعاد سفارش خود را، به دقت وارد فرمایید. </t>
  </si>
  <si>
    <t>4 - اگر بعد از تاریخ و ساعت اعلامی، بردی ارسال شود، واریز هزینه این برد، هیچ تعهدی جهت ساخت برای ما، ایجاد نمیکند.</t>
  </si>
  <si>
    <t>تحفیف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</si>
</sst>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u/>
      <sz val="14"/>
      <color theme="10"/>
      <name val="Calibri"/>
      <family val="2"/>
    </font>
    <font>
      <b/>
      <sz val="14"/>
      <color rgb="FFC00000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20"/>
      <color rgb="FFC00000"/>
      <name val="Calibri"/>
      <family val="2"/>
    </font>
    <font>
      <b/>
      <sz val="13"/>
      <color theme="1"/>
      <name val="Calibri"/>
      <family val="2"/>
    </font>
    <font>
      <b/>
      <sz val="14"/>
      <color theme="0"/>
      <name val="Calibri"/>
      <family val="2"/>
    </font>
    <font>
      <b/>
      <sz val="18"/>
      <color theme="1"/>
      <name val="Calibri"/>
      <family val="2"/>
    </font>
    <font>
      <b/>
      <sz val="11"/>
      <color indexed="81"/>
      <name val="Tahoma"/>
      <family val="2"/>
    </font>
    <font>
      <b/>
      <sz val="16"/>
      <color rgb="FF480000"/>
      <name val="Calibri"/>
      <family val="2"/>
    </font>
    <font>
      <b/>
      <sz val="20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B40000"/>
        <bgColor indexed="64"/>
      </patternFill>
    </fill>
    <fill>
      <patternFill patternType="solid">
        <fgColor rgb="FFA00000"/>
        <bgColor indexed="64"/>
      </patternFill>
    </fill>
    <fill>
      <patternFill patternType="solid">
        <fgColor rgb="FF640000"/>
        <bgColor indexed="64"/>
      </patternFill>
    </fill>
    <fill>
      <patternFill patternType="solid">
        <fgColor rgb="FF8C0000"/>
        <bgColor indexed="64"/>
      </patternFill>
    </fill>
    <fill>
      <patternFill patternType="solid">
        <fgColor rgb="FF780000"/>
        <bgColor indexed="64"/>
      </patternFill>
    </fill>
    <fill>
      <patternFill patternType="solid">
        <fgColor rgb="FFC80000"/>
        <bgColor indexed="64"/>
      </patternFill>
    </fill>
    <fill>
      <patternFill patternType="solid">
        <fgColor rgb="FFDC0000"/>
        <bgColor indexed="64"/>
      </patternFill>
    </fill>
    <fill>
      <patternFill patternType="solid">
        <fgColor rgb="FFF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1414"/>
        <bgColor indexed="64"/>
      </patternFill>
    </fill>
    <fill>
      <patternFill patternType="solid">
        <fgColor rgb="FFFF2828"/>
        <bgColor indexed="64"/>
      </patternFill>
    </fill>
    <fill>
      <patternFill patternType="solid">
        <fgColor rgb="FFFF3C3C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6464"/>
        <bgColor indexed="64"/>
      </patternFill>
    </fill>
    <fill>
      <patternFill patternType="solid">
        <fgColor rgb="FFFF7878"/>
        <bgColor indexed="64"/>
      </patternFill>
    </fill>
    <fill>
      <patternFill patternType="solid">
        <fgColor rgb="FFFF8C8C"/>
        <bgColor indexed="64"/>
      </patternFill>
    </fill>
    <fill>
      <patternFill patternType="solid">
        <fgColor rgb="FFFFA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6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9" xfId="0" applyNumberFormat="1" applyFont="1" applyBorder="1" applyAlignment="1" applyProtection="1">
      <alignment horizontal="right" vertical="center"/>
      <protection hidden="1"/>
    </xf>
    <xf numFmtId="3" fontId="2" fillId="0" borderId="7" xfId="0" applyNumberFormat="1" applyFont="1" applyBorder="1" applyAlignment="1" applyProtection="1">
      <alignment horizontal="right" vertical="center"/>
      <protection hidden="1"/>
    </xf>
    <xf numFmtId="0" fontId="4" fillId="0" borderId="0" xfId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3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3" fontId="3" fillId="7" borderId="0" xfId="0" applyNumberFormat="1" applyFont="1" applyFill="1" applyAlignment="1">
      <alignment horizontal="right" vertical="center"/>
    </xf>
    <xf numFmtId="0" fontId="2" fillId="0" borderId="35" xfId="0" applyFont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 wrapText="1" readingOrder="2"/>
    </xf>
    <xf numFmtId="0" fontId="3" fillId="0" borderId="0" xfId="0" applyFont="1" applyAlignment="1" applyProtection="1">
      <alignment horizontal="center" vertical="center"/>
      <protection hidden="1"/>
    </xf>
    <xf numFmtId="0" fontId="2" fillId="0" borderId="36" xfId="0" applyFont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0" borderId="3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 readingOrder="2"/>
    </xf>
    <xf numFmtId="0" fontId="3" fillId="10" borderId="23" xfId="0" applyFont="1" applyFill="1" applyBorder="1" applyAlignment="1">
      <alignment horizontal="center"/>
    </xf>
    <xf numFmtId="0" fontId="3" fillId="10" borderId="25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vertical="center"/>
    </xf>
    <xf numFmtId="0" fontId="2" fillId="0" borderId="0" xfId="0" applyFont="1" applyBorder="1"/>
    <xf numFmtId="0" fontId="2" fillId="0" borderId="0" xfId="0" applyFont="1" applyAlignment="1"/>
    <xf numFmtId="0" fontId="10" fillId="12" borderId="8" xfId="0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0" fontId="10" fillId="16" borderId="8" xfId="0" applyFont="1" applyFill="1" applyBorder="1" applyAlignment="1">
      <alignment horizontal="center" vertical="center"/>
    </xf>
    <xf numFmtId="0" fontId="10" fillId="17" borderId="8" xfId="0" applyFont="1" applyFill="1" applyBorder="1" applyAlignment="1">
      <alignment horizontal="center" vertical="center"/>
    </xf>
    <xf numFmtId="0" fontId="10" fillId="18" borderId="8" xfId="0" applyFont="1" applyFill="1" applyBorder="1" applyAlignment="1">
      <alignment horizontal="center" vertical="center"/>
    </xf>
    <xf numFmtId="0" fontId="10" fillId="19" borderId="8" xfId="0" applyFont="1" applyFill="1" applyBorder="1" applyAlignment="1">
      <alignment horizontal="center" vertical="center"/>
    </xf>
    <xf numFmtId="0" fontId="10" fillId="20" borderId="8" xfId="0" applyFont="1" applyFill="1" applyBorder="1" applyAlignment="1">
      <alignment horizontal="center" vertical="center"/>
    </xf>
    <xf numFmtId="0" fontId="10" fillId="21" borderId="8" xfId="0" applyFont="1" applyFill="1" applyBorder="1" applyAlignment="1">
      <alignment horizontal="center" vertical="center"/>
    </xf>
    <xf numFmtId="0" fontId="10" fillId="22" borderId="8" xfId="0" applyFont="1" applyFill="1" applyBorder="1" applyAlignment="1">
      <alignment horizontal="center" vertical="center"/>
    </xf>
    <xf numFmtId="0" fontId="10" fillId="23" borderId="8" xfId="0" applyFont="1" applyFill="1" applyBorder="1" applyAlignment="1">
      <alignment horizontal="center" vertical="center"/>
    </xf>
    <xf numFmtId="0" fontId="10" fillId="24" borderId="8" xfId="0" applyFont="1" applyFill="1" applyBorder="1" applyAlignment="1">
      <alignment horizontal="center" vertical="center"/>
    </xf>
    <xf numFmtId="0" fontId="10" fillId="25" borderId="8" xfId="0" applyFont="1" applyFill="1" applyBorder="1" applyAlignment="1">
      <alignment horizontal="center" vertical="center"/>
    </xf>
    <xf numFmtId="0" fontId="10" fillId="26" borderId="8" xfId="0" applyFont="1" applyFill="1" applyBorder="1" applyAlignment="1">
      <alignment horizontal="center" vertical="center"/>
    </xf>
    <xf numFmtId="0" fontId="10" fillId="27" borderId="8" xfId="0" applyFont="1" applyFill="1" applyBorder="1" applyAlignment="1">
      <alignment horizontal="center" vertical="center"/>
    </xf>
    <xf numFmtId="0" fontId="10" fillId="28" borderId="8" xfId="0" applyFont="1" applyFill="1" applyBorder="1" applyAlignment="1">
      <alignment horizontal="center" vertical="center"/>
    </xf>
    <xf numFmtId="3" fontId="2" fillId="0" borderId="0" xfId="0" applyNumberFormat="1" applyFont="1"/>
    <xf numFmtId="0" fontId="3" fillId="0" borderId="0" xfId="0" applyFont="1" applyFill="1" applyAlignment="1">
      <alignment vertical="center"/>
    </xf>
    <xf numFmtId="0" fontId="3" fillId="0" borderId="41" xfId="0" applyFont="1" applyBorder="1" applyAlignment="1">
      <alignment horizontal="center" vertical="center"/>
    </xf>
    <xf numFmtId="0" fontId="2" fillId="0" borderId="42" xfId="0" applyFont="1" applyBorder="1"/>
    <xf numFmtId="0" fontId="3" fillId="0" borderId="42" xfId="0" applyFont="1" applyBorder="1" applyAlignment="1" applyProtection="1">
      <alignment horizontal="center" vertical="center"/>
      <protection hidden="1"/>
    </xf>
    <xf numFmtId="0" fontId="3" fillId="0" borderId="42" xfId="0" quotePrefix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3" fontId="3" fillId="0" borderId="46" xfId="0" quotePrefix="1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1" fillId="29" borderId="40" xfId="0" applyFont="1" applyFill="1" applyBorder="1" applyAlignment="1">
      <alignment horizontal="left" vertical="center" textRotation="90" wrapText="1"/>
    </xf>
    <xf numFmtId="0" fontId="3" fillId="0" borderId="19" xfId="0" applyFont="1" applyBorder="1" applyAlignment="1">
      <alignment horizontal="right" vertical="center" readingOrder="2"/>
    </xf>
    <xf numFmtId="0" fontId="3" fillId="0" borderId="20" xfId="0" applyFont="1" applyBorder="1" applyAlignment="1">
      <alignment horizontal="right" vertical="center" readingOrder="2"/>
    </xf>
    <xf numFmtId="0" fontId="3" fillId="0" borderId="37" xfId="0" applyFont="1" applyBorder="1" applyAlignment="1">
      <alignment horizontal="right" vertical="center" readingOrder="2"/>
    </xf>
    <xf numFmtId="0" fontId="5" fillId="4" borderId="1" xfId="0" applyFont="1" applyFill="1" applyBorder="1" applyAlignment="1">
      <alignment horizontal="right" vertical="center" wrapText="1" readingOrder="2"/>
    </xf>
    <xf numFmtId="0" fontId="5" fillId="4" borderId="23" xfId="0" applyFont="1" applyFill="1" applyBorder="1" applyAlignment="1">
      <alignment horizontal="right" vertical="center" wrapText="1" readingOrder="2"/>
    </xf>
    <xf numFmtId="0" fontId="5" fillId="4" borderId="27" xfId="0" applyFont="1" applyFill="1" applyBorder="1" applyAlignment="1">
      <alignment horizontal="right" vertical="center" wrapText="1" readingOrder="2"/>
    </xf>
    <xf numFmtId="0" fontId="5" fillId="4" borderId="24" xfId="0" applyFont="1" applyFill="1" applyBorder="1" applyAlignment="1">
      <alignment horizontal="right" vertical="center" wrapText="1" readingOrder="2"/>
    </xf>
    <xf numFmtId="0" fontId="5" fillId="4" borderId="29" xfId="0" applyFont="1" applyFill="1" applyBorder="1" applyAlignment="1">
      <alignment horizontal="right" vertical="center" wrapText="1" readingOrder="2"/>
    </xf>
    <xf numFmtId="0" fontId="5" fillId="4" borderId="0" xfId="0" applyFont="1" applyFill="1" applyBorder="1" applyAlignment="1">
      <alignment horizontal="right" vertical="center" wrapText="1" readingOrder="2"/>
    </xf>
    <xf numFmtId="0" fontId="5" fillId="4" borderId="30" xfId="0" applyFont="1" applyFill="1" applyBorder="1" applyAlignment="1">
      <alignment horizontal="right" vertical="center" wrapText="1" readingOrder="2"/>
    </xf>
    <xf numFmtId="0" fontId="5" fillId="4" borderId="25" xfId="0" applyFont="1" applyFill="1" applyBorder="1" applyAlignment="1">
      <alignment horizontal="right" vertical="center" wrapText="1" readingOrder="2"/>
    </xf>
    <xf numFmtId="0" fontId="5" fillId="4" borderId="28" xfId="0" applyFont="1" applyFill="1" applyBorder="1" applyAlignment="1">
      <alignment horizontal="right" vertical="center" wrapText="1" readingOrder="2"/>
    </xf>
    <xf numFmtId="0" fontId="5" fillId="4" borderId="26" xfId="0" applyFont="1" applyFill="1" applyBorder="1" applyAlignment="1">
      <alignment horizontal="right" vertical="center" wrapText="1" readingOrder="2"/>
    </xf>
    <xf numFmtId="0" fontId="8" fillId="9" borderId="1" xfId="0" applyFont="1" applyFill="1" applyBorder="1" applyAlignment="1">
      <alignment horizontal="center" vertical="center" wrapText="1"/>
    </xf>
    <xf numFmtId="0" fontId="8" fillId="31" borderId="1" xfId="0" applyFont="1" applyFill="1" applyBorder="1" applyAlignment="1">
      <alignment horizontal="center" vertical="center" wrapText="1" readingOrder="2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19" xfId="0" applyFont="1" applyFill="1" applyBorder="1" applyAlignment="1">
      <alignment horizontal="right" vertical="center" readingOrder="2"/>
    </xf>
    <xf numFmtId="0" fontId="3" fillId="0" borderId="20" xfId="0" applyFont="1" applyFill="1" applyBorder="1" applyAlignment="1">
      <alignment horizontal="right" vertical="center" readingOrder="2"/>
    </xf>
    <xf numFmtId="0" fontId="3" fillId="0" borderId="37" xfId="0" applyFont="1" applyFill="1" applyBorder="1" applyAlignment="1">
      <alignment horizontal="right" vertical="center" readingOrder="2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right" vertical="center"/>
    </xf>
    <xf numFmtId="0" fontId="2" fillId="0" borderId="20" xfId="0" applyFont="1" applyFill="1" applyBorder="1" applyAlignment="1">
      <alignment horizontal="right" vertical="center"/>
    </xf>
    <xf numFmtId="0" fontId="2" fillId="0" borderId="21" xfId="0" applyFont="1" applyFill="1" applyBorder="1" applyAlignment="1">
      <alignment horizontal="right" vertical="center"/>
    </xf>
    <xf numFmtId="49" fontId="2" fillId="0" borderId="19" xfId="0" applyNumberFormat="1" applyFont="1" applyFill="1" applyBorder="1" applyAlignment="1">
      <alignment horizontal="right" vertical="center"/>
    </xf>
    <xf numFmtId="49" fontId="2" fillId="0" borderId="20" xfId="0" applyNumberFormat="1" applyFont="1" applyFill="1" applyBorder="1" applyAlignment="1">
      <alignment horizontal="right" vertical="center"/>
    </xf>
    <xf numFmtId="49" fontId="2" fillId="0" borderId="21" xfId="0" applyNumberFormat="1" applyFont="1" applyFill="1" applyBorder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readingOrder="2"/>
    </xf>
    <xf numFmtId="0" fontId="3" fillId="0" borderId="4" xfId="0" applyFont="1" applyBorder="1" applyAlignment="1">
      <alignment horizontal="right" vertical="center" readingOrder="2"/>
    </xf>
    <xf numFmtId="0" fontId="2" fillId="0" borderId="1" xfId="0" applyFont="1" applyBorder="1" applyAlignment="1">
      <alignment horizontal="right" vertical="center" readingOrder="2"/>
    </xf>
    <xf numFmtId="0" fontId="13" fillId="30" borderId="22" xfId="0" applyFont="1" applyFill="1" applyBorder="1" applyAlignment="1">
      <alignment horizontal="right" vertical="center" readingOrder="2"/>
    </xf>
    <xf numFmtId="0" fontId="13" fillId="30" borderId="38" xfId="0" applyFont="1" applyFill="1" applyBorder="1" applyAlignment="1">
      <alignment horizontal="right" vertical="center" readingOrder="2"/>
    </xf>
    <xf numFmtId="0" fontId="13" fillId="30" borderId="39" xfId="0" applyFont="1" applyFill="1" applyBorder="1" applyAlignment="1">
      <alignment horizontal="right" vertical="center" readingOrder="2"/>
    </xf>
    <xf numFmtId="0" fontId="2" fillId="0" borderId="0" xfId="0" applyFont="1" applyBorder="1" applyAlignment="1">
      <alignment horizontal="left" vertical="center"/>
    </xf>
    <xf numFmtId="49" fontId="2" fillId="0" borderId="23" xfId="0" applyNumberFormat="1" applyFont="1" applyFill="1" applyBorder="1" applyAlignment="1">
      <alignment horizontal="right" vertical="center" wrapText="1"/>
    </xf>
    <xf numFmtId="49" fontId="2" fillId="0" borderId="27" xfId="0" applyNumberFormat="1" applyFont="1" applyFill="1" applyBorder="1" applyAlignment="1">
      <alignment horizontal="right" vertical="center" wrapText="1"/>
    </xf>
    <xf numFmtId="49" fontId="2" fillId="0" borderId="24" xfId="0" applyNumberFormat="1" applyFont="1" applyFill="1" applyBorder="1" applyAlignment="1">
      <alignment horizontal="right" vertical="center" wrapText="1"/>
    </xf>
    <xf numFmtId="49" fontId="2" fillId="0" borderId="25" xfId="0" applyNumberFormat="1" applyFont="1" applyFill="1" applyBorder="1" applyAlignment="1">
      <alignment horizontal="right" vertical="center" wrapText="1"/>
    </xf>
    <xf numFmtId="49" fontId="2" fillId="0" borderId="28" xfId="0" applyNumberFormat="1" applyFont="1" applyFill="1" applyBorder="1" applyAlignment="1">
      <alignment horizontal="right" vertical="center" wrapText="1"/>
    </xf>
    <xf numFmtId="49" fontId="2" fillId="0" borderId="26" xfId="0" applyNumberFormat="1" applyFont="1" applyFill="1" applyBorder="1" applyAlignment="1">
      <alignment horizontal="right" vertical="center" wrapText="1"/>
    </xf>
    <xf numFmtId="49" fontId="2" fillId="0" borderId="19" xfId="0" applyNumberFormat="1" applyFont="1" applyFill="1" applyBorder="1" applyAlignment="1">
      <alignment horizontal="center" vertical="center"/>
    </xf>
    <xf numFmtId="49" fontId="2" fillId="0" borderId="20" xfId="0" applyNumberFormat="1" applyFont="1" applyFill="1" applyBorder="1" applyAlignment="1">
      <alignment horizontal="center" vertical="center"/>
    </xf>
    <xf numFmtId="49" fontId="2" fillId="0" borderId="21" xfId="0" applyNumberFormat="1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top" wrapText="1" readingOrder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480000"/>
      <color rgb="FFFF0000"/>
      <color rgb="FFFFB4B4"/>
      <color rgb="FFFFA0A0"/>
      <color rgb="FFFF8C8C"/>
      <color rgb="FFFF7878"/>
      <color rgb="FFFF6464"/>
      <color rgb="FFFF5050"/>
      <color rgb="FFFF3C3C"/>
      <color rgb="FFFF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fmlaLink="S7" lockText="1" noThreeD="1"/>
</file>

<file path=xl/ctrlProps/ctrlProp24.xml><?xml version="1.0" encoding="utf-8"?>
<formControlPr xmlns="http://schemas.microsoft.com/office/spreadsheetml/2009/9/main" objectType="CheckBox" fmlaLink="S9" lockText="1" noThreeD="1"/>
</file>

<file path=xl/ctrlProps/ctrlProp25.xml><?xml version="1.0" encoding="utf-8"?>
<formControlPr xmlns="http://schemas.microsoft.com/office/spreadsheetml/2009/9/main" objectType="CheckBox" fmlaLink="S10" lockText="1" noThreeD="1"/>
</file>

<file path=xl/ctrlProps/ctrlProp26.xml><?xml version="1.0" encoding="utf-8"?>
<formControlPr xmlns="http://schemas.microsoft.com/office/spreadsheetml/2009/9/main" objectType="CheckBox" fmlaLink="S11" lockText="1" noThreeD="1"/>
</file>

<file path=xl/ctrlProps/ctrlProp27.xml><?xml version="1.0" encoding="utf-8"?>
<formControlPr xmlns="http://schemas.microsoft.com/office/spreadsheetml/2009/9/main" objectType="CheckBox" fmlaLink="S12" lockText="1" noThreeD="1"/>
</file>

<file path=xl/ctrlProps/ctrlProp28.xml><?xml version="1.0" encoding="utf-8"?>
<formControlPr xmlns="http://schemas.microsoft.com/office/spreadsheetml/2009/9/main" objectType="CheckBox" fmlaLink="S13" lockText="1" noThreeD="1"/>
</file>

<file path=xl/ctrlProps/ctrlProp29.xml><?xml version="1.0" encoding="utf-8"?>
<formControlPr xmlns="http://schemas.microsoft.com/office/spreadsheetml/2009/9/main" objectType="CheckBox" fmlaLink="S14" lockText="1" noThreeD="1"/>
</file>

<file path=xl/ctrlProps/ctrlProp30.xml><?xml version="1.0" encoding="utf-8"?>
<formControlPr xmlns="http://schemas.microsoft.com/office/spreadsheetml/2009/9/main" objectType="CheckBox" fmlaLink="S8" lockText="1" noThreeD="1"/>
</file>

<file path=xl/ctrlProps/ctrlProp31.xml><?xml version="1.0" encoding="utf-8"?>
<formControlPr xmlns="http://schemas.microsoft.com/office/spreadsheetml/2009/9/main" objectType="CheckBox" fmlaLink="S7" lockText="1" noThreeD="1"/>
</file>

<file path=xl/ctrlProps/ctrlProp32.xml><?xml version="1.0" encoding="utf-8"?>
<formControlPr xmlns="http://schemas.microsoft.com/office/spreadsheetml/2009/9/main" objectType="CheckBox" fmlaLink="$AB$3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209550</xdr:colOff>
          <xdr:row>13</xdr:row>
          <xdr:rowOff>9525</xdr:rowOff>
        </xdr:from>
        <xdr:to>
          <xdr:col>12</xdr:col>
          <xdr:colOff>447675</xdr:colOff>
          <xdr:row>13</xdr:row>
          <xdr:rowOff>228600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209550</xdr:colOff>
          <xdr:row>14</xdr:row>
          <xdr:rowOff>9525</xdr:rowOff>
        </xdr:from>
        <xdr:to>
          <xdr:col>12</xdr:col>
          <xdr:colOff>447675</xdr:colOff>
          <xdr:row>14</xdr:row>
          <xdr:rowOff>228600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209550</xdr:colOff>
          <xdr:row>11</xdr:row>
          <xdr:rowOff>9525</xdr:rowOff>
        </xdr:from>
        <xdr:to>
          <xdr:col>12</xdr:col>
          <xdr:colOff>447675</xdr:colOff>
          <xdr:row>11</xdr:row>
          <xdr:rowOff>228600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209550</xdr:colOff>
          <xdr:row>12</xdr:row>
          <xdr:rowOff>0</xdr:rowOff>
        </xdr:from>
        <xdr:to>
          <xdr:col>12</xdr:col>
          <xdr:colOff>447675</xdr:colOff>
          <xdr:row>12</xdr:row>
          <xdr:rowOff>228600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10</xdr:row>
          <xdr:rowOff>9525</xdr:rowOff>
        </xdr:from>
        <xdr:to>
          <xdr:col>12</xdr:col>
          <xdr:colOff>438150</xdr:colOff>
          <xdr:row>10</xdr:row>
          <xdr:rowOff>238125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9</xdr:row>
          <xdr:rowOff>0</xdr:rowOff>
        </xdr:from>
        <xdr:to>
          <xdr:col>12</xdr:col>
          <xdr:colOff>438150</xdr:colOff>
          <xdr:row>9</xdr:row>
          <xdr:rowOff>228600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8</xdr:row>
          <xdr:rowOff>0</xdr:rowOff>
        </xdr:from>
        <xdr:to>
          <xdr:col>12</xdr:col>
          <xdr:colOff>438150</xdr:colOff>
          <xdr:row>8</xdr:row>
          <xdr:rowOff>228600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7</xdr:row>
          <xdr:rowOff>0</xdr:rowOff>
        </xdr:from>
        <xdr:to>
          <xdr:col>12</xdr:col>
          <xdr:colOff>438150</xdr:colOff>
          <xdr:row>7</xdr:row>
          <xdr:rowOff>228600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209550</xdr:colOff>
          <xdr:row>6</xdr:row>
          <xdr:rowOff>0</xdr:rowOff>
        </xdr:from>
        <xdr:to>
          <xdr:col>12</xdr:col>
          <xdr:colOff>447675</xdr:colOff>
          <xdr:row>6</xdr:row>
          <xdr:rowOff>228600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209550</xdr:colOff>
          <xdr:row>5</xdr:row>
          <xdr:rowOff>9525</xdr:rowOff>
        </xdr:from>
        <xdr:to>
          <xdr:col>12</xdr:col>
          <xdr:colOff>447675</xdr:colOff>
          <xdr:row>5</xdr:row>
          <xdr:rowOff>228600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4</xdr:row>
          <xdr:rowOff>0</xdr:rowOff>
        </xdr:from>
        <xdr:to>
          <xdr:col>12</xdr:col>
          <xdr:colOff>438150</xdr:colOff>
          <xdr:row>4</xdr:row>
          <xdr:rowOff>228600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3</xdr:row>
          <xdr:rowOff>9525</xdr:rowOff>
        </xdr:from>
        <xdr:to>
          <xdr:col>12</xdr:col>
          <xdr:colOff>438150</xdr:colOff>
          <xdr:row>3</xdr:row>
          <xdr:rowOff>238125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209550</xdr:colOff>
          <xdr:row>15</xdr:row>
          <xdr:rowOff>9525</xdr:rowOff>
        </xdr:from>
        <xdr:to>
          <xdr:col>12</xdr:col>
          <xdr:colOff>447675</xdr:colOff>
          <xdr:row>15</xdr:row>
          <xdr:rowOff>228600</xdr:rowOff>
        </xdr:to>
        <xdr:sp macro="" textlink="">
          <xdr:nvSpPr>
            <xdr:cNvPr id="2529" name="Check Box 481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00000000-0008-0000-0000-0000E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209550</xdr:colOff>
          <xdr:row>16</xdr:row>
          <xdr:rowOff>9525</xdr:rowOff>
        </xdr:from>
        <xdr:to>
          <xdr:col>12</xdr:col>
          <xdr:colOff>447675</xdr:colOff>
          <xdr:row>16</xdr:row>
          <xdr:rowOff>228600</xdr:rowOff>
        </xdr:to>
        <xdr:sp macro="" textlink="">
          <xdr:nvSpPr>
            <xdr:cNvPr id="2536" name="Check Box 488" hidden="1">
              <a:extLst>
                <a:ext uri="{63B3BB69-23CF-44E3-9099-C40C66FF867C}">
                  <a14:compatExt spid="_x0000_s2536"/>
                </a:ext>
                <a:ext uri="{FF2B5EF4-FFF2-40B4-BE49-F238E27FC236}">
                  <a16:creationId xmlns:a16="http://schemas.microsoft.com/office/drawing/2014/main" id="{00000000-0008-0000-0000-0000E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209550</xdr:colOff>
          <xdr:row>17</xdr:row>
          <xdr:rowOff>9525</xdr:rowOff>
        </xdr:from>
        <xdr:to>
          <xdr:col>12</xdr:col>
          <xdr:colOff>447675</xdr:colOff>
          <xdr:row>17</xdr:row>
          <xdr:rowOff>228600</xdr:rowOff>
        </xdr:to>
        <xdr:sp macro="" textlink="">
          <xdr:nvSpPr>
            <xdr:cNvPr id="2538" name="Check Box 490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00000000-0008-0000-0000-0000E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209550</xdr:colOff>
          <xdr:row>18</xdr:row>
          <xdr:rowOff>9525</xdr:rowOff>
        </xdr:from>
        <xdr:to>
          <xdr:col>12</xdr:col>
          <xdr:colOff>447675</xdr:colOff>
          <xdr:row>18</xdr:row>
          <xdr:rowOff>228600</xdr:rowOff>
        </xdr:to>
        <xdr:sp macro="" textlink="">
          <xdr:nvSpPr>
            <xdr:cNvPr id="2540" name="Check Box 492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00000000-0008-0000-0000-0000E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209550</xdr:colOff>
          <xdr:row>19</xdr:row>
          <xdr:rowOff>9525</xdr:rowOff>
        </xdr:from>
        <xdr:to>
          <xdr:col>12</xdr:col>
          <xdr:colOff>447675</xdr:colOff>
          <xdr:row>19</xdr:row>
          <xdr:rowOff>228600</xdr:rowOff>
        </xdr:to>
        <xdr:sp macro="" textlink="">
          <xdr:nvSpPr>
            <xdr:cNvPr id="2543" name="Check Box 495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:a16="http://schemas.microsoft.com/office/drawing/2014/main" id="{00000000-0008-0000-0000-0000E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20</xdr:row>
          <xdr:rowOff>95250</xdr:rowOff>
        </xdr:from>
        <xdr:to>
          <xdr:col>12</xdr:col>
          <xdr:colOff>438150</xdr:colOff>
          <xdr:row>20</xdr:row>
          <xdr:rowOff>314325</xdr:rowOff>
        </xdr:to>
        <xdr:sp macro="" textlink="">
          <xdr:nvSpPr>
            <xdr:cNvPr id="2545" name="Check Box 497" hidden="1">
              <a:extLst>
                <a:ext uri="{63B3BB69-23CF-44E3-9099-C40C66FF867C}">
                  <a14:compatExt spid="_x0000_s2545"/>
                </a:ext>
                <a:ext uri="{FF2B5EF4-FFF2-40B4-BE49-F238E27FC236}">
                  <a16:creationId xmlns:a16="http://schemas.microsoft.com/office/drawing/2014/main" id="{00000000-0008-0000-0000-0000F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6</xdr:row>
          <xdr:rowOff>9525</xdr:rowOff>
        </xdr:from>
        <xdr:to>
          <xdr:col>17</xdr:col>
          <xdr:colOff>438150</xdr:colOff>
          <xdr:row>6</xdr:row>
          <xdr:rowOff>238125</xdr:rowOff>
        </xdr:to>
        <xdr:sp macro="" textlink="">
          <xdr:nvSpPr>
            <xdr:cNvPr id="2601" name="Check Box 553" hidden="1">
              <a:extLst>
                <a:ext uri="{63B3BB69-23CF-44E3-9099-C40C66FF867C}">
                  <a14:compatExt spid="_x0000_s26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10</xdr:row>
          <xdr:rowOff>9525</xdr:rowOff>
        </xdr:from>
        <xdr:to>
          <xdr:col>17</xdr:col>
          <xdr:colOff>438150</xdr:colOff>
          <xdr:row>10</xdr:row>
          <xdr:rowOff>238125</xdr:rowOff>
        </xdr:to>
        <xdr:sp macro="" textlink="">
          <xdr:nvSpPr>
            <xdr:cNvPr id="2605" name="Check Box 557" hidden="1">
              <a:extLst>
                <a:ext uri="{63B3BB69-23CF-44E3-9099-C40C66FF867C}">
                  <a14:compatExt spid="_x0000_s26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11</xdr:row>
          <xdr:rowOff>9525</xdr:rowOff>
        </xdr:from>
        <xdr:to>
          <xdr:col>17</xdr:col>
          <xdr:colOff>438150</xdr:colOff>
          <xdr:row>11</xdr:row>
          <xdr:rowOff>238125</xdr:rowOff>
        </xdr:to>
        <xdr:sp macro="" textlink="">
          <xdr:nvSpPr>
            <xdr:cNvPr id="2606" name="Check Box 558" hidden="1">
              <a:extLst>
                <a:ext uri="{63B3BB69-23CF-44E3-9099-C40C66FF867C}">
                  <a14:compatExt spid="_x0000_s26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12</xdr:row>
          <xdr:rowOff>9525</xdr:rowOff>
        </xdr:from>
        <xdr:to>
          <xdr:col>17</xdr:col>
          <xdr:colOff>438150</xdr:colOff>
          <xdr:row>12</xdr:row>
          <xdr:rowOff>238125</xdr:rowOff>
        </xdr:to>
        <xdr:sp macro="" textlink="">
          <xdr:nvSpPr>
            <xdr:cNvPr id="2607" name="Check Box 559" hidden="1">
              <a:extLst>
                <a:ext uri="{63B3BB69-23CF-44E3-9099-C40C66FF867C}">
                  <a14:compatExt spid="_x0000_s26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13</xdr:row>
          <xdr:rowOff>9525</xdr:rowOff>
        </xdr:from>
        <xdr:to>
          <xdr:col>17</xdr:col>
          <xdr:colOff>438150</xdr:colOff>
          <xdr:row>13</xdr:row>
          <xdr:rowOff>238125</xdr:rowOff>
        </xdr:to>
        <xdr:sp macro="" textlink="">
          <xdr:nvSpPr>
            <xdr:cNvPr id="2608" name="Check Box 560" hidden="1">
              <a:extLst>
                <a:ext uri="{63B3BB69-23CF-44E3-9099-C40C66FF867C}">
                  <a14:compatExt spid="_x0000_s26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7</xdr:row>
          <xdr:rowOff>9525</xdr:rowOff>
        </xdr:from>
        <xdr:to>
          <xdr:col>17</xdr:col>
          <xdr:colOff>438150</xdr:colOff>
          <xdr:row>7</xdr:row>
          <xdr:rowOff>238125</xdr:rowOff>
        </xdr:to>
        <xdr:sp macro="" textlink="">
          <xdr:nvSpPr>
            <xdr:cNvPr id="2611" name="Check Box 563" hidden="1">
              <a:extLst>
                <a:ext uri="{63B3BB69-23CF-44E3-9099-C40C66FF867C}">
                  <a14:compatExt spid="_x0000_s26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8</xdr:row>
          <xdr:rowOff>9525</xdr:rowOff>
        </xdr:from>
        <xdr:to>
          <xdr:col>17</xdr:col>
          <xdr:colOff>438150</xdr:colOff>
          <xdr:row>8</xdr:row>
          <xdr:rowOff>238125</xdr:rowOff>
        </xdr:to>
        <xdr:sp macro="" textlink="">
          <xdr:nvSpPr>
            <xdr:cNvPr id="2612" name="Check Box 564" hidden="1">
              <a:extLst>
                <a:ext uri="{63B3BB69-23CF-44E3-9099-C40C66FF867C}">
                  <a14:compatExt spid="_x0000_s26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9</xdr:row>
          <xdr:rowOff>9525</xdr:rowOff>
        </xdr:from>
        <xdr:to>
          <xdr:col>17</xdr:col>
          <xdr:colOff>438150</xdr:colOff>
          <xdr:row>9</xdr:row>
          <xdr:rowOff>238125</xdr:rowOff>
        </xdr:to>
        <xdr:sp macro="" textlink="">
          <xdr:nvSpPr>
            <xdr:cNvPr id="2613" name="Check Box 565" hidden="1">
              <a:extLst>
                <a:ext uri="{63B3BB69-23CF-44E3-9099-C40C66FF867C}">
                  <a14:compatExt spid="_x0000_s26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10</xdr:row>
          <xdr:rowOff>9525</xdr:rowOff>
        </xdr:from>
        <xdr:to>
          <xdr:col>17</xdr:col>
          <xdr:colOff>438150</xdr:colOff>
          <xdr:row>10</xdr:row>
          <xdr:rowOff>238125</xdr:rowOff>
        </xdr:to>
        <xdr:sp macro="" textlink="">
          <xdr:nvSpPr>
            <xdr:cNvPr id="2614" name="Check Box 566" hidden="1">
              <a:extLst>
                <a:ext uri="{63B3BB69-23CF-44E3-9099-C40C66FF867C}">
                  <a14:compatExt spid="_x0000_s26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11</xdr:row>
          <xdr:rowOff>9525</xdr:rowOff>
        </xdr:from>
        <xdr:to>
          <xdr:col>17</xdr:col>
          <xdr:colOff>438150</xdr:colOff>
          <xdr:row>11</xdr:row>
          <xdr:rowOff>238125</xdr:rowOff>
        </xdr:to>
        <xdr:sp macro="" textlink="">
          <xdr:nvSpPr>
            <xdr:cNvPr id="2615" name="Check Box 567" hidden="1">
              <a:extLst>
                <a:ext uri="{63B3BB69-23CF-44E3-9099-C40C66FF867C}">
                  <a14:compatExt spid="_x0000_s26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12</xdr:row>
          <xdr:rowOff>9525</xdr:rowOff>
        </xdr:from>
        <xdr:to>
          <xdr:col>17</xdr:col>
          <xdr:colOff>438150</xdr:colOff>
          <xdr:row>12</xdr:row>
          <xdr:rowOff>238125</xdr:rowOff>
        </xdr:to>
        <xdr:sp macro="" textlink="">
          <xdr:nvSpPr>
            <xdr:cNvPr id="2616" name="Check Box 568" hidden="1">
              <a:extLst>
                <a:ext uri="{63B3BB69-23CF-44E3-9099-C40C66FF867C}">
                  <a14:compatExt spid="_x0000_s26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13</xdr:row>
          <xdr:rowOff>9525</xdr:rowOff>
        </xdr:from>
        <xdr:to>
          <xdr:col>17</xdr:col>
          <xdr:colOff>438150</xdr:colOff>
          <xdr:row>13</xdr:row>
          <xdr:rowOff>238125</xdr:rowOff>
        </xdr:to>
        <xdr:sp macro="" textlink="">
          <xdr:nvSpPr>
            <xdr:cNvPr id="2617" name="Check Box 569" hidden="1">
              <a:extLst>
                <a:ext uri="{63B3BB69-23CF-44E3-9099-C40C66FF867C}">
                  <a14:compatExt spid="_x0000_s26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200025</xdr:colOff>
          <xdr:row>6</xdr:row>
          <xdr:rowOff>9525</xdr:rowOff>
        </xdr:from>
        <xdr:to>
          <xdr:col>17</xdr:col>
          <xdr:colOff>438150</xdr:colOff>
          <xdr:row>6</xdr:row>
          <xdr:rowOff>238125</xdr:rowOff>
        </xdr:to>
        <xdr:sp macro="" textlink="">
          <xdr:nvSpPr>
            <xdr:cNvPr id="2618" name="Check Box 570" hidden="1">
              <a:extLst>
                <a:ext uri="{63B3BB69-23CF-44E3-9099-C40C66FF867C}">
                  <a14:compatExt spid="_x0000_s26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228600</xdr:colOff>
          <xdr:row>2</xdr:row>
          <xdr:rowOff>38100</xdr:rowOff>
        </xdr:from>
        <xdr:to>
          <xdr:col>25</xdr:col>
          <xdr:colOff>466725</xdr:colOff>
          <xdr:row>2</xdr:row>
          <xdr:rowOff>266700</xdr:rowOff>
        </xdr:to>
        <xdr:sp macro="" textlink="">
          <xdr:nvSpPr>
            <xdr:cNvPr id="2621" name="Check Box 573" hidden="1">
              <a:extLst>
                <a:ext uri="{63B3BB69-23CF-44E3-9099-C40C66FF867C}">
                  <a14:compatExt spid="_x0000_s26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21" Type="http://schemas.openxmlformats.org/officeDocument/2006/relationships/ctrlProp" Target="../ctrlProps/ctrlProp17.xml"/><Relationship Id="rId34" Type="http://schemas.openxmlformats.org/officeDocument/2006/relationships/ctrlProp" Target="../ctrlProps/ctrlProp30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29" Type="http://schemas.openxmlformats.org/officeDocument/2006/relationships/ctrlProp" Target="../ctrlProps/ctrlProp25.xml"/><Relationship Id="rId1" Type="http://schemas.openxmlformats.org/officeDocument/2006/relationships/hyperlink" Target="mailto:MyOrder.PCB@Gmail.Co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omments" Target="../comments1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31" Type="http://schemas.openxmlformats.org/officeDocument/2006/relationships/ctrlProp" Target="../ctrlProps/ctrlProp27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45"/>
  <sheetViews>
    <sheetView tabSelected="1" zoomScale="90" zoomScaleNormal="90" workbookViewId="0">
      <selection activeCell="W16" sqref="W16"/>
    </sheetView>
  </sheetViews>
  <sheetFormatPr defaultColWidth="9" defaultRowHeight="19.5" customHeight="1" x14ac:dyDescent="0.3"/>
  <cols>
    <col min="1" max="1" width="5.375" style="2" customWidth="1"/>
    <col min="2" max="2" width="5.5" style="2" customWidth="1"/>
    <col min="3" max="3" width="4" style="2" customWidth="1"/>
    <col min="4" max="4" width="3.75" style="2" customWidth="1"/>
    <col min="5" max="5" width="7" style="2" customWidth="1"/>
    <col min="6" max="6" width="6" style="2" customWidth="1"/>
    <col min="7" max="7" width="7" style="2" customWidth="1"/>
    <col min="8" max="8" width="11.5" style="2" customWidth="1"/>
    <col min="9" max="9" width="6" style="2" customWidth="1"/>
    <col min="10" max="10" width="8.5" style="2" customWidth="1"/>
    <col min="11" max="11" width="4.625" style="2" customWidth="1"/>
    <col min="12" max="12" width="11.75" style="2" customWidth="1"/>
    <col min="13" max="13" width="7.75" style="2" customWidth="1"/>
    <col min="14" max="14" width="1.875" style="2" customWidth="1"/>
    <col min="15" max="15" width="9" style="2" customWidth="1"/>
    <col min="16" max="16" width="6.25" style="2" customWidth="1"/>
    <col min="17" max="17" width="33" style="2" customWidth="1"/>
    <col min="18" max="18" width="8.125" style="2" customWidth="1"/>
    <col min="19" max="19" width="8.125" style="8" hidden="1" customWidth="1"/>
    <col min="20" max="21" width="10" style="2" customWidth="1"/>
    <col min="22" max="22" width="6.875" style="2" customWidth="1"/>
    <col min="23" max="23" width="12.375" style="2" customWidth="1"/>
    <col min="24" max="24" width="9.625" style="2" customWidth="1"/>
    <col min="25" max="25" width="15.375" style="2" customWidth="1"/>
    <col min="26" max="27" width="9" style="2"/>
    <col min="28" max="28" width="13.125" style="65" hidden="1" customWidth="1"/>
    <col min="29" max="29" width="12.375" style="2" customWidth="1"/>
    <col min="30" max="16384" width="9" style="2"/>
  </cols>
  <sheetData>
    <row r="1" spans="1:29" ht="14.25" customHeight="1" thickBot="1" x14ac:dyDescent="0.35"/>
    <row r="2" spans="1:29" ht="29.45" customHeight="1" thickTop="1" x14ac:dyDescent="0.3">
      <c r="B2" s="117" t="s">
        <v>0</v>
      </c>
      <c r="C2" s="133" t="s">
        <v>24</v>
      </c>
      <c r="D2" s="133"/>
      <c r="E2" s="133"/>
      <c r="F2" s="133"/>
      <c r="G2" s="133"/>
      <c r="H2" s="133"/>
      <c r="I2" s="133"/>
      <c r="J2" s="133"/>
      <c r="K2" s="133"/>
      <c r="L2" s="133"/>
      <c r="M2" s="129" t="s">
        <v>1</v>
      </c>
      <c r="P2" s="1"/>
      <c r="Q2" s="1"/>
      <c r="R2" s="1"/>
      <c r="S2" s="1"/>
      <c r="T2" s="1"/>
      <c r="V2" s="111" t="s">
        <v>15</v>
      </c>
      <c r="W2" s="112"/>
      <c r="X2" s="67" t="s">
        <v>16</v>
      </c>
      <c r="Y2" s="67" t="s">
        <v>22</v>
      </c>
      <c r="Z2" s="67" t="s">
        <v>72</v>
      </c>
      <c r="AB2" s="73">
        <v>140</v>
      </c>
    </row>
    <row r="3" spans="1:29" ht="24" customHeight="1" thickBot="1" x14ac:dyDescent="0.35">
      <c r="B3" s="128"/>
      <c r="C3" s="131" t="s">
        <v>58</v>
      </c>
      <c r="D3" s="132"/>
      <c r="E3" s="132"/>
      <c r="F3" s="132"/>
      <c r="G3" s="132"/>
      <c r="H3" s="132"/>
      <c r="I3" s="132"/>
      <c r="J3" s="132"/>
      <c r="K3" s="132"/>
      <c r="L3" s="132"/>
      <c r="M3" s="130"/>
      <c r="P3" s="66"/>
      <c r="Q3" s="120" t="s">
        <v>3</v>
      </c>
      <c r="R3" s="120"/>
      <c r="S3" s="120"/>
      <c r="T3" s="120"/>
      <c r="U3" s="121"/>
      <c r="V3" s="71" t="s">
        <v>7</v>
      </c>
      <c r="W3" s="72">
        <v>12000</v>
      </c>
      <c r="X3" s="70">
        <v>5000</v>
      </c>
      <c r="Y3" s="69">
        <v>10</v>
      </c>
      <c r="Z3" s="68"/>
      <c r="AB3" s="65" t="b">
        <v>0</v>
      </c>
      <c r="AC3" s="8"/>
    </row>
    <row r="4" spans="1:29" ht="19.5" customHeight="1" thickTop="1" thickBot="1" x14ac:dyDescent="0.35">
      <c r="A4" s="74" t="s">
        <v>65</v>
      </c>
      <c r="B4" s="50">
        <v>1</v>
      </c>
      <c r="C4" s="135" t="s">
        <v>49</v>
      </c>
      <c r="D4" s="135"/>
      <c r="E4" s="135"/>
      <c r="F4" s="135"/>
      <c r="G4" s="135"/>
      <c r="H4" s="135"/>
      <c r="I4" s="135"/>
      <c r="J4" s="135"/>
      <c r="K4" s="135"/>
      <c r="L4" s="135"/>
      <c r="M4" s="9"/>
    </row>
    <row r="5" spans="1:29" ht="19.5" customHeight="1" thickTop="1" x14ac:dyDescent="0.3">
      <c r="A5" s="74"/>
      <c r="B5" s="52">
        <f>B4+1</f>
        <v>2</v>
      </c>
      <c r="C5" s="134" t="s">
        <v>50</v>
      </c>
      <c r="D5" s="134"/>
      <c r="E5" s="134"/>
      <c r="F5" s="134"/>
      <c r="G5" s="134"/>
      <c r="H5" s="134"/>
      <c r="I5" s="134"/>
      <c r="J5" s="134"/>
      <c r="K5" s="134"/>
      <c r="L5" s="134"/>
      <c r="M5" s="10"/>
      <c r="P5" s="117" t="s">
        <v>0</v>
      </c>
      <c r="Q5" s="113" t="s">
        <v>28</v>
      </c>
      <c r="R5" s="113" t="s">
        <v>44</v>
      </c>
      <c r="S5" s="30"/>
      <c r="T5" s="115" t="s">
        <v>20</v>
      </c>
      <c r="U5" s="116"/>
      <c r="V5" s="113" t="s">
        <v>6</v>
      </c>
      <c r="W5" s="11" t="s">
        <v>8</v>
      </c>
      <c r="X5" s="29"/>
      <c r="Y5" s="22"/>
    </row>
    <row r="6" spans="1:29" ht="19.5" customHeight="1" x14ac:dyDescent="0.3">
      <c r="A6" s="74"/>
      <c r="B6" s="51">
        <f t="shared" ref="B6:B20" si="0">B5+1</f>
        <v>3</v>
      </c>
      <c r="C6" s="134" t="s">
        <v>66</v>
      </c>
      <c r="D6" s="134"/>
      <c r="E6" s="134"/>
      <c r="F6" s="134"/>
      <c r="G6" s="134"/>
      <c r="H6" s="134"/>
      <c r="I6" s="134"/>
      <c r="J6" s="134"/>
      <c r="K6" s="134"/>
      <c r="L6" s="134"/>
      <c r="M6" s="10"/>
      <c r="P6" s="118"/>
      <c r="Q6" s="114"/>
      <c r="R6" s="119"/>
      <c r="S6" s="34"/>
      <c r="T6" s="21" t="s">
        <v>4</v>
      </c>
      <c r="U6" s="21" t="s">
        <v>5</v>
      </c>
      <c r="V6" s="114"/>
      <c r="W6" s="24" t="s">
        <v>9</v>
      </c>
      <c r="X6" s="29"/>
      <c r="Y6" s="22"/>
    </row>
    <row r="7" spans="1:29" ht="19.5" customHeight="1" x14ac:dyDescent="0.3">
      <c r="A7" s="74"/>
      <c r="B7" s="49">
        <f t="shared" si="0"/>
        <v>4</v>
      </c>
      <c r="C7" s="134" t="s">
        <v>51</v>
      </c>
      <c r="D7" s="134"/>
      <c r="E7" s="134"/>
      <c r="F7" s="134"/>
      <c r="G7" s="134"/>
      <c r="H7" s="134"/>
      <c r="I7" s="134"/>
      <c r="J7" s="134"/>
      <c r="K7" s="134"/>
      <c r="L7" s="134"/>
      <c r="M7" s="10"/>
      <c r="P7" s="4">
        <v>1</v>
      </c>
      <c r="Q7" s="12" t="s">
        <v>45</v>
      </c>
      <c r="R7" s="33"/>
      <c r="S7" s="35" t="b">
        <v>0</v>
      </c>
      <c r="T7" s="27">
        <v>125.67</v>
      </c>
      <c r="U7" s="27">
        <v>31.508849999999999</v>
      </c>
      <c r="V7" s="13">
        <v>1</v>
      </c>
      <c r="W7" s="14">
        <f>IF(S7&lt;&gt;TRUE,IF($AB$3&lt;&gt;FALSE,IF(AB7&gt;500000,IF(AB7&gt;1000000,IF(AB7&gt;2000000,IF(AB7&gt;3000000,IF(AB7&gt;4000000,AB7*0.875,AB7*0.9),AB7*0.925),AB7*0.95),AB7*0.975),AB7),AB7),AB7)</f>
        <v>513368.98553999991</v>
      </c>
      <c r="AB7" s="65">
        <f>(IF((T7*U7/100*V7)&lt;$Y$3,IF(V7&gt;0,(3.162278*3.162278*$W$3),0),((T7+2)*(U7+2)/100*$W$3*V7)))*(IF(S7&lt;&gt;TRUE,1,1.15))</f>
        <v>513368.98553999991</v>
      </c>
    </row>
    <row r="8" spans="1:29" ht="19.5" customHeight="1" x14ac:dyDescent="0.3">
      <c r="A8" s="74"/>
      <c r="B8" s="48">
        <f t="shared" si="0"/>
        <v>5</v>
      </c>
      <c r="C8" s="75" t="s">
        <v>60</v>
      </c>
      <c r="D8" s="76"/>
      <c r="E8" s="76"/>
      <c r="F8" s="76"/>
      <c r="G8" s="76"/>
      <c r="H8" s="76"/>
      <c r="I8" s="76"/>
      <c r="J8" s="76"/>
      <c r="K8" s="76"/>
      <c r="L8" s="77"/>
      <c r="M8" s="10"/>
      <c r="P8" s="4">
        <f t="shared" ref="P8:P16" si="1">P7+1</f>
        <v>2</v>
      </c>
      <c r="Q8" s="12"/>
      <c r="R8" s="33" t="s">
        <v>48</v>
      </c>
      <c r="S8" s="35" t="b">
        <v>0</v>
      </c>
      <c r="T8" s="27"/>
      <c r="U8" s="27"/>
      <c r="V8" s="13"/>
      <c r="W8" s="14">
        <f t="shared" ref="W8:W14" si="2">IF(S8&lt;&gt;TRUE,IF($AB$3&lt;&gt;FALSE,IF(AB8&gt;500000,IF(AB8&gt;1000000,IF(AB8&gt;2000000,IF(AB8&gt;3000000,IF(AB8&gt;4000000,AB8*0.875,AB8*0.9),AB8*0.925),AB8*0.95),AB8*0.975),AB8),AB8),AB8)</f>
        <v>0</v>
      </c>
      <c r="AB8" s="65">
        <f t="shared" ref="AB8:AB14" si="3">(IF((T8*U8/100*V8)&lt;$Y$3,IF(V8&gt;0,(3.162278*3.162278*$W$3),0),((T8+2)*(U8+2)/100*$W$3*V8)))*(IF(S8&lt;&gt;TRUE,1,1.15))</f>
        <v>0</v>
      </c>
    </row>
    <row r="9" spans="1:29" ht="19.5" customHeight="1" x14ac:dyDescent="0.3">
      <c r="A9" s="74"/>
      <c r="B9" s="53">
        <f t="shared" si="0"/>
        <v>6</v>
      </c>
      <c r="C9" s="75" t="s">
        <v>52</v>
      </c>
      <c r="D9" s="76"/>
      <c r="E9" s="76"/>
      <c r="F9" s="76"/>
      <c r="G9" s="76"/>
      <c r="H9" s="76"/>
      <c r="I9" s="76"/>
      <c r="J9" s="76"/>
      <c r="K9" s="76"/>
      <c r="L9" s="77"/>
      <c r="M9" s="10"/>
      <c r="P9" s="4">
        <f t="shared" si="1"/>
        <v>3</v>
      </c>
      <c r="Q9" s="12"/>
      <c r="R9" s="33"/>
      <c r="S9" s="35" t="b">
        <v>0</v>
      </c>
      <c r="T9" s="27"/>
      <c r="U9" s="27"/>
      <c r="V9" s="13"/>
      <c r="W9" s="14">
        <f t="shared" si="2"/>
        <v>0</v>
      </c>
      <c r="AB9" s="65">
        <f t="shared" si="3"/>
        <v>0</v>
      </c>
    </row>
    <row r="10" spans="1:29" ht="19.5" customHeight="1" x14ac:dyDescent="0.3">
      <c r="A10" s="74"/>
      <c r="B10" s="54">
        <f t="shared" si="0"/>
        <v>7</v>
      </c>
      <c r="C10" s="75" t="s">
        <v>62</v>
      </c>
      <c r="D10" s="76"/>
      <c r="E10" s="76"/>
      <c r="F10" s="76"/>
      <c r="G10" s="76"/>
      <c r="H10" s="76"/>
      <c r="I10" s="76"/>
      <c r="J10" s="76"/>
      <c r="K10" s="76"/>
      <c r="L10" s="77"/>
      <c r="M10" s="10"/>
      <c r="P10" s="4">
        <f t="shared" si="1"/>
        <v>4</v>
      </c>
      <c r="Q10" s="12"/>
      <c r="R10" s="33"/>
      <c r="S10" s="35" t="b">
        <v>0</v>
      </c>
      <c r="T10" s="27"/>
      <c r="U10" s="27"/>
      <c r="V10" s="13"/>
      <c r="W10" s="14">
        <f t="shared" si="2"/>
        <v>0</v>
      </c>
      <c r="AB10" s="65">
        <f t="shared" si="3"/>
        <v>0</v>
      </c>
    </row>
    <row r="11" spans="1:29" ht="19.5" customHeight="1" x14ac:dyDescent="0.3">
      <c r="A11" s="74"/>
      <c r="B11" s="55">
        <f t="shared" si="0"/>
        <v>8</v>
      </c>
      <c r="C11" s="75" t="s">
        <v>55</v>
      </c>
      <c r="D11" s="76"/>
      <c r="E11" s="76"/>
      <c r="F11" s="76"/>
      <c r="G11" s="76"/>
      <c r="H11" s="76"/>
      <c r="I11" s="76"/>
      <c r="J11" s="76"/>
      <c r="K11" s="76"/>
      <c r="L11" s="77"/>
      <c r="M11" s="10"/>
      <c r="P11" s="4">
        <f t="shared" si="1"/>
        <v>5</v>
      </c>
      <c r="Q11" s="12"/>
      <c r="R11" s="33"/>
      <c r="S11" s="35" t="b">
        <v>0</v>
      </c>
      <c r="T11" s="27"/>
      <c r="U11" s="27"/>
      <c r="V11" s="13"/>
      <c r="W11" s="14">
        <f t="shared" si="2"/>
        <v>0</v>
      </c>
      <c r="AB11" s="65">
        <f t="shared" si="3"/>
        <v>0</v>
      </c>
    </row>
    <row r="12" spans="1:29" ht="19.5" customHeight="1" x14ac:dyDescent="0.3">
      <c r="A12" s="74"/>
      <c r="B12" s="56">
        <f t="shared" si="0"/>
        <v>9</v>
      </c>
      <c r="C12" s="75" t="s">
        <v>63</v>
      </c>
      <c r="D12" s="76"/>
      <c r="E12" s="76"/>
      <c r="F12" s="76"/>
      <c r="G12" s="76"/>
      <c r="H12" s="76"/>
      <c r="I12" s="76"/>
      <c r="J12" s="76"/>
      <c r="K12" s="76"/>
      <c r="L12" s="77"/>
      <c r="M12" s="10"/>
      <c r="P12" s="4">
        <f t="shared" si="1"/>
        <v>6</v>
      </c>
      <c r="Q12" s="12"/>
      <c r="R12" s="33"/>
      <c r="S12" s="35" t="b">
        <v>0</v>
      </c>
      <c r="T12" s="27"/>
      <c r="U12" s="27"/>
      <c r="V12" s="13"/>
      <c r="W12" s="14">
        <f t="shared" si="2"/>
        <v>0</v>
      </c>
      <c r="AB12" s="65">
        <f t="shared" si="3"/>
        <v>0</v>
      </c>
    </row>
    <row r="13" spans="1:29" ht="19.5" customHeight="1" x14ac:dyDescent="0.3">
      <c r="A13" s="74"/>
      <c r="B13" s="57">
        <f t="shared" si="0"/>
        <v>10</v>
      </c>
      <c r="C13" s="108" t="s">
        <v>61</v>
      </c>
      <c r="D13" s="109"/>
      <c r="E13" s="109"/>
      <c r="F13" s="109"/>
      <c r="G13" s="109"/>
      <c r="H13" s="109"/>
      <c r="I13" s="109"/>
      <c r="J13" s="109"/>
      <c r="K13" s="109"/>
      <c r="L13" s="110"/>
      <c r="M13" s="10"/>
      <c r="P13" s="4">
        <f t="shared" si="1"/>
        <v>7</v>
      </c>
      <c r="Q13" s="12"/>
      <c r="R13" s="33"/>
      <c r="S13" s="35" t="b">
        <v>0</v>
      </c>
      <c r="T13" s="27"/>
      <c r="U13" s="27"/>
      <c r="V13" s="13"/>
      <c r="W13" s="14">
        <f t="shared" si="2"/>
        <v>0</v>
      </c>
      <c r="AB13" s="65">
        <f t="shared" si="3"/>
        <v>0</v>
      </c>
    </row>
    <row r="14" spans="1:29" ht="19.5" customHeight="1" x14ac:dyDescent="0.3">
      <c r="A14" s="74"/>
      <c r="B14" s="58">
        <f t="shared" si="0"/>
        <v>11</v>
      </c>
      <c r="C14" s="75" t="s">
        <v>57</v>
      </c>
      <c r="D14" s="76"/>
      <c r="E14" s="76"/>
      <c r="F14" s="76"/>
      <c r="G14" s="76"/>
      <c r="H14" s="76"/>
      <c r="I14" s="76"/>
      <c r="J14" s="76"/>
      <c r="K14" s="76"/>
      <c r="L14" s="77"/>
      <c r="M14" s="10"/>
      <c r="P14" s="4">
        <f t="shared" si="1"/>
        <v>8</v>
      </c>
      <c r="Q14" s="12"/>
      <c r="R14" s="33"/>
      <c r="S14" s="35" t="b">
        <v>0</v>
      </c>
      <c r="T14" s="27"/>
      <c r="U14" s="27"/>
      <c r="V14" s="13"/>
      <c r="W14" s="14">
        <f t="shared" si="2"/>
        <v>0</v>
      </c>
      <c r="AB14" s="65">
        <f t="shared" si="3"/>
        <v>0</v>
      </c>
    </row>
    <row r="15" spans="1:29" ht="19.5" customHeight="1" x14ac:dyDescent="0.3">
      <c r="A15" s="74"/>
      <c r="B15" s="59">
        <f t="shared" si="0"/>
        <v>12</v>
      </c>
      <c r="C15" s="75" t="s">
        <v>64</v>
      </c>
      <c r="D15" s="76"/>
      <c r="E15" s="76"/>
      <c r="F15" s="76"/>
      <c r="G15" s="76"/>
      <c r="H15" s="76"/>
      <c r="I15" s="76"/>
      <c r="J15" s="76"/>
      <c r="K15" s="76"/>
      <c r="L15" s="77"/>
      <c r="M15" s="10"/>
      <c r="P15" s="4">
        <f t="shared" si="1"/>
        <v>9</v>
      </c>
      <c r="Q15" s="105" t="s">
        <v>59</v>
      </c>
      <c r="R15" s="106"/>
      <c r="S15" s="106"/>
      <c r="T15" s="107"/>
      <c r="U15" s="27"/>
      <c r="V15" s="13"/>
      <c r="W15" s="14">
        <f>IF(OR(T7&gt;AB2,U7&gt;AB2,T8&gt;AB2,U8&gt;AB2,T9&gt;AB2,U9&gt;AB2,T10&gt;AB2,U10&gt;AB2,T11&gt;AB2,U11&gt;AB2,T12&gt;AB2,U12&gt;AB2,T13&gt;AB2,U13&gt;AB2,T14&gt;AB2,U14&gt;AB2), 50000,35000)</f>
        <v>35000</v>
      </c>
    </row>
    <row r="16" spans="1:29" ht="19.5" customHeight="1" thickBot="1" x14ac:dyDescent="0.35">
      <c r="A16" s="74"/>
      <c r="B16" s="60">
        <f t="shared" si="0"/>
        <v>13</v>
      </c>
      <c r="C16" s="75" t="s">
        <v>56</v>
      </c>
      <c r="D16" s="76"/>
      <c r="E16" s="76"/>
      <c r="F16" s="76"/>
      <c r="G16" s="76"/>
      <c r="H16" s="76"/>
      <c r="I16" s="76"/>
      <c r="J16" s="76"/>
      <c r="K16" s="76"/>
      <c r="L16" s="77"/>
      <c r="M16" s="10"/>
      <c r="P16" s="6">
        <f t="shared" si="1"/>
        <v>10</v>
      </c>
      <c r="Q16" s="7" t="s">
        <v>17</v>
      </c>
      <c r="R16" s="7"/>
      <c r="S16" s="7"/>
      <c r="T16" s="5"/>
      <c r="U16" s="5"/>
      <c r="V16" s="5">
        <v>0</v>
      </c>
      <c r="W16" s="15">
        <f>($X$3*V16)</f>
        <v>0</v>
      </c>
    </row>
    <row r="17" spans="1:24" ht="19.5" customHeight="1" thickTop="1" x14ac:dyDescent="0.3">
      <c r="A17" s="74"/>
      <c r="B17" s="61">
        <f t="shared" si="0"/>
        <v>14</v>
      </c>
      <c r="C17" s="75" t="s">
        <v>53</v>
      </c>
      <c r="D17" s="76"/>
      <c r="E17" s="76"/>
      <c r="F17" s="76"/>
      <c r="G17" s="76"/>
      <c r="H17" s="76"/>
      <c r="I17" s="76"/>
      <c r="J17" s="76"/>
      <c r="K17" s="76"/>
      <c r="L17" s="77"/>
      <c r="M17" s="10"/>
      <c r="V17" s="1"/>
      <c r="W17" s="23">
        <f>SUM(W7:W16)</f>
        <v>548368.98553999991</v>
      </c>
      <c r="X17" s="3"/>
    </row>
    <row r="18" spans="1:24" ht="19.5" customHeight="1" x14ac:dyDescent="0.3">
      <c r="A18" s="74"/>
      <c r="B18" s="62">
        <f t="shared" si="0"/>
        <v>15</v>
      </c>
      <c r="C18" s="75" t="s">
        <v>54</v>
      </c>
      <c r="D18" s="76"/>
      <c r="E18" s="76"/>
      <c r="F18" s="76"/>
      <c r="G18" s="76"/>
      <c r="H18" s="76"/>
      <c r="I18" s="76"/>
      <c r="J18" s="76"/>
      <c r="K18" s="76"/>
      <c r="L18" s="77"/>
      <c r="M18" s="10"/>
      <c r="Q18" s="25" t="s">
        <v>11</v>
      </c>
      <c r="R18" s="32"/>
      <c r="S18" s="31"/>
      <c r="W18" s="22" t="s">
        <v>21</v>
      </c>
    </row>
    <row r="19" spans="1:24" ht="19.5" customHeight="1" x14ac:dyDescent="0.3">
      <c r="A19" s="74"/>
      <c r="B19" s="63">
        <f t="shared" si="0"/>
        <v>16</v>
      </c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0"/>
      <c r="Q19" s="26" t="s">
        <v>12</v>
      </c>
      <c r="R19" s="32"/>
      <c r="S19" s="32"/>
    </row>
    <row r="20" spans="1:24" ht="19.5" customHeight="1" thickBot="1" x14ac:dyDescent="0.35">
      <c r="A20" s="74"/>
      <c r="B20" s="64">
        <f t="shared" si="0"/>
        <v>17</v>
      </c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0"/>
      <c r="Q20" s="16" t="s">
        <v>13</v>
      </c>
      <c r="R20" s="16"/>
      <c r="S20" s="16"/>
      <c r="U20" s="17"/>
      <c r="V20" s="17"/>
      <c r="W20" s="17"/>
      <c r="X20" s="17"/>
    </row>
    <row r="21" spans="1:24" ht="35.25" customHeight="1" thickTop="1" thickBot="1" x14ac:dyDescent="0.35">
      <c r="A21" s="74"/>
      <c r="B21" s="50">
        <f>B20+1</f>
        <v>18</v>
      </c>
      <c r="C21" s="137" t="s">
        <v>67</v>
      </c>
      <c r="D21" s="138"/>
      <c r="E21" s="138"/>
      <c r="F21" s="138"/>
      <c r="G21" s="138"/>
      <c r="H21" s="138"/>
      <c r="I21" s="138"/>
      <c r="J21" s="138"/>
      <c r="K21" s="138"/>
      <c r="L21" s="139"/>
      <c r="M21" s="18"/>
      <c r="Q21" s="17"/>
      <c r="R21" s="17"/>
      <c r="S21" s="36"/>
      <c r="U21" s="17"/>
      <c r="V21" s="17"/>
      <c r="W21" s="17"/>
      <c r="X21" s="17"/>
    </row>
    <row r="22" spans="1:24" ht="19.5" customHeight="1" thickTop="1" x14ac:dyDescent="0.3">
      <c r="Q22" s="38" t="s">
        <v>36</v>
      </c>
      <c r="R22" s="90" t="s">
        <v>37</v>
      </c>
      <c r="S22" s="91"/>
      <c r="T22" s="92"/>
      <c r="U22" s="96" t="s">
        <v>46</v>
      </c>
      <c r="V22" s="97"/>
      <c r="W22" s="98"/>
    </row>
    <row r="23" spans="1:24" ht="19.5" customHeight="1" x14ac:dyDescent="0.3"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Q23" s="39" t="s">
        <v>38</v>
      </c>
      <c r="R23" s="93" t="s">
        <v>39</v>
      </c>
      <c r="S23" s="94"/>
      <c r="T23" s="95"/>
      <c r="U23" s="99" t="s">
        <v>47</v>
      </c>
      <c r="V23" s="100"/>
      <c r="W23" s="101"/>
    </row>
    <row r="24" spans="1:24" ht="33.75" customHeight="1" x14ac:dyDescent="0.3"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P24" s="88" t="s">
        <v>33</v>
      </c>
      <c r="Q24" s="88"/>
      <c r="R24" s="88"/>
      <c r="S24" s="88"/>
      <c r="T24" s="88"/>
      <c r="U24" s="88"/>
      <c r="V24" s="88"/>
      <c r="W24" s="88"/>
      <c r="X24" s="88"/>
    </row>
    <row r="25" spans="1:24" ht="19.5" customHeight="1" x14ac:dyDescent="0.3">
      <c r="D25" s="104" t="s">
        <v>10</v>
      </c>
      <c r="E25" s="104"/>
      <c r="F25" s="104"/>
      <c r="G25" s="104"/>
      <c r="H25" s="104"/>
      <c r="I25" s="104"/>
      <c r="J25" s="104"/>
      <c r="K25" s="104"/>
      <c r="L25" s="46"/>
      <c r="M25" s="46"/>
      <c r="N25" s="47"/>
      <c r="P25" s="82" t="s">
        <v>34</v>
      </c>
      <c r="Q25" s="83"/>
      <c r="R25" s="83"/>
      <c r="S25" s="83"/>
      <c r="T25" s="83"/>
      <c r="U25" s="83"/>
      <c r="V25" s="83"/>
      <c r="W25" s="83"/>
      <c r="X25" s="84"/>
    </row>
    <row r="26" spans="1:24" ht="19.5" customHeight="1" x14ac:dyDescent="0.3">
      <c r="D26" s="46"/>
      <c r="E26" s="103"/>
      <c r="F26" s="103"/>
      <c r="G26" s="103"/>
      <c r="H26" s="103"/>
      <c r="I26" s="103"/>
      <c r="J26" s="103"/>
      <c r="K26" s="46"/>
      <c r="L26" s="140"/>
      <c r="M26" s="140"/>
      <c r="N26" s="47"/>
      <c r="P26" s="82"/>
      <c r="Q26" s="83"/>
      <c r="R26" s="83"/>
      <c r="S26" s="83"/>
      <c r="T26" s="83"/>
      <c r="U26" s="83"/>
      <c r="V26" s="83"/>
      <c r="W26" s="83"/>
      <c r="X26" s="84"/>
    </row>
    <row r="27" spans="1:24" ht="19.5" customHeight="1" x14ac:dyDescent="0.3">
      <c r="E27" s="40" t="s">
        <v>29</v>
      </c>
      <c r="F27" s="41" t="s">
        <v>30</v>
      </c>
      <c r="G27" s="42" t="s">
        <v>31</v>
      </c>
      <c r="H27" s="122" t="s">
        <v>40</v>
      </c>
      <c r="I27" s="123"/>
      <c r="J27" s="124"/>
      <c r="K27" s="19"/>
      <c r="L27" s="102" t="s">
        <v>18</v>
      </c>
      <c r="M27" s="102"/>
      <c r="N27" s="47"/>
      <c r="P27" s="85"/>
      <c r="Q27" s="86"/>
      <c r="R27" s="86"/>
      <c r="S27" s="86"/>
      <c r="T27" s="86"/>
      <c r="U27" s="86"/>
      <c r="V27" s="86"/>
      <c r="W27" s="86"/>
      <c r="X27" s="87"/>
    </row>
    <row r="28" spans="1:24" ht="19.5" customHeight="1" x14ac:dyDescent="0.3">
      <c r="E28" s="125" t="s">
        <v>43</v>
      </c>
      <c r="F28" s="126"/>
      <c r="G28" s="126"/>
      <c r="H28" s="126" t="s">
        <v>42</v>
      </c>
      <c r="I28" s="126"/>
      <c r="J28" s="127"/>
      <c r="K28" s="19"/>
      <c r="L28" s="102" t="s">
        <v>19</v>
      </c>
      <c r="M28" s="102"/>
      <c r="N28" s="47"/>
      <c r="P28" s="79" t="s">
        <v>35</v>
      </c>
      <c r="Q28" s="80"/>
      <c r="R28" s="80"/>
      <c r="S28" s="80"/>
      <c r="T28" s="80"/>
      <c r="U28" s="80"/>
      <c r="V28" s="80"/>
      <c r="W28" s="80"/>
      <c r="X28" s="81"/>
    </row>
    <row r="29" spans="1:24" ht="19.5" customHeight="1" x14ac:dyDescent="0.3">
      <c r="E29" s="141"/>
      <c r="F29" s="142"/>
      <c r="G29" s="142"/>
      <c r="H29" s="142"/>
      <c r="I29" s="142"/>
      <c r="J29" s="143"/>
      <c r="K29" s="20"/>
      <c r="L29" s="102" t="s">
        <v>14</v>
      </c>
      <c r="M29" s="102"/>
      <c r="N29" s="47"/>
      <c r="P29" s="82"/>
      <c r="Q29" s="83"/>
      <c r="R29" s="83"/>
      <c r="S29" s="83"/>
      <c r="T29" s="83"/>
      <c r="U29" s="83"/>
      <c r="V29" s="83"/>
      <c r="W29" s="83"/>
      <c r="X29" s="84"/>
    </row>
    <row r="30" spans="1:24" ht="19.5" customHeight="1" x14ac:dyDescent="0.3">
      <c r="E30" s="144"/>
      <c r="F30" s="145"/>
      <c r="G30" s="145"/>
      <c r="H30" s="145"/>
      <c r="I30" s="145"/>
      <c r="J30" s="146"/>
      <c r="L30" s="102"/>
      <c r="M30" s="102"/>
      <c r="N30" s="47"/>
      <c r="P30" s="85"/>
      <c r="Q30" s="86"/>
      <c r="R30" s="86"/>
      <c r="S30" s="86"/>
      <c r="T30" s="86"/>
      <c r="U30" s="86"/>
      <c r="V30" s="86"/>
      <c r="W30" s="86"/>
      <c r="X30" s="87"/>
    </row>
    <row r="31" spans="1:24" ht="23.25" customHeight="1" x14ac:dyDescent="0.3">
      <c r="E31" s="35"/>
      <c r="F31" s="43" t="s">
        <v>27</v>
      </c>
      <c r="G31" s="35"/>
      <c r="H31" s="43" t="s">
        <v>26</v>
      </c>
      <c r="I31" s="35"/>
      <c r="J31" s="44" t="s">
        <v>25</v>
      </c>
      <c r="K31" s="8"/>
      <c r="L31" s="102"/>
      <c r="M31" s="102"/>
      <c r="P31" s="78" t="s">
        <v>70</v>
      </c>
      <c r="Q31" s="78"/>
      <c r="R31" s="78"/>
      <c r="S31" s="78"/>
      <c r="T31" s="78"/>
      <c r="U31" s="78"/>
      <c r="V31" s="78"/>
      <c r="W31" s="78"/>
      <c r="X31" s="78"/>
    </row>
    <row r="32" spans="1:24" ht="23.25" customHeight="1" x14ac:dyDescent="0.3">
      <c r="E32" s="45"/>
      <c r="F32" s="147"/>
      <c r="G32" s="148"/>
      <c r="H32" s="149"/>
      <c r="I32" s="150" t="s">
        <v>23</v>
      </c>
      <c r="J32" s="151"/>
      <c r="P32" s="155" t="s">
        <v>71</v>
      </c>
      <c r="Q32" s="155"/>
      <c r="R32" s="155"/>
      <c r="S32" s="155"/>
      <c r="T32" s="155"/>
      <c r="U32" s="155"/>
      <c r="V32" s="155"/>
      <c r="W32" s="155"/>
      <c r="X32" s="155"/>
    </row>
    <row r="33" spans="5:24" ht="22.5" customHeight="1" x14ac:dyDescent="0.3">
      <c r="E33" s="152" t="s">
        <v>32</v>
      </c>
      <c r="F33" s="153"/>
      <c r="G33" s="153"/>
      <c r="H33" s="153"/>
      <c r="I33" s="153"/>
      <c r="J33" s="154"/>
      <c r="L33" s="102" t="s">
        <v>2</v>
      </c>
      <c r="M33" s="102"/>
      <c r="P33" s="155"/>
      <c r="Q33" s="155"/>
      <c r="R33" s="155"/>
      <c r="S33" s="155"/>
      <c r="T33" s="155"/>
      <c r="U33" s="155"/>
      <c r="V33" s="155"/>
      <c r="W33" s="155"/>
      <c r="X33" s="155"/>
    </row>
    <row r="34" spans="5:24" ht="19.5" customHeight="1" x14ac:dyDescent="0.3">
      <c r="P34" s="89" t="s">
        <v>41</v>
      </c>
      <c r="Q34" s="89"/>
      <c r="R34" s="89"/>
      <c r="S34" s="89"/>
      <c r="T34" s="89"/>
      <c r="U34" s="89"/>
      <c r="V34" s="89"/>
      <c r="W34" s="89"/>
      <c r="X34" s="89"/>
    </row>
    <row r="35" spans="5:24" ht="19.5" customHeight="1" x14ac:dyDescent="0.3">
      <c r="P35" s="89"/>
      <c r="Q35" s="89"/>
      <c r="R35" s="89"/>
      <c r="S35" s="89"/>
      <c r="T35" s="89"/>
      <c r="U35" s="89"/>
      <c r="V35" s="89"/>
      <c r="W35" s="89"/>
      <c r="X35" s="89"/>
    </row>
    <row r="36" spans="5:24" ht="19.5" customHeight="1" x14ac:dyDescent="0.3">
      <c r="P36" s="78" t="s">
        <v>68</v>
      </c>
      <c r="Q36" s="78"/>
      <c r="R36" s="78"/>
      <c r="S36" s="78"/>
      <c r="T36" s="78"/>
      <c r="U36" s="78"/>
      <c r="V36" s="78"/>
      <c r="W36" s="78"/>
      <c r="X36" s="78"/>
    </row>
    <row r="37" spans="5:24" ht="39.75" customHeight="1" x14ac:dyDescent="0.3">
      <c r="P37" s="78"/>
      <c r="Q37" s="78"/>
      <c r="R37" s="78"/>
      <c r="S37" s="78"/>
      <c r="T37" s="78"/>
      <c r="U37" s="78"/>
      <c r="V37" s="78"/>
      <c r="W37" s="78"/>
      <c r="X37" s="78"/>
    </row>
    <row r="38" spans="5:24" ht="19.5" customHeight="1" x14ac:dyDescent="0.3">
      <c r="P38" s="79" t="s">
        <v>69</v>
      </c>
      <c r="Q38" s="80"/>
      <c r="R38" s="80"/>
      <c r="S38" s="80"/>
      <c r="T38" s="80"/>
      <c r="U38" s="80"/>
      <c r="V38" s="80"/>
      <c r="W38" s="80"/>
      <c r="X38" s="81"/>
    </row>
    <row r="39" spans="5:24" ht="19.5" customHeight="1" x14ac:dyDescent="0.3">
      <c r="P39" s="82"/>
      <c r="Q39" s="83"/>
      <c r="R39" s="83"/>
      <c r="S39" s="83"/>
      <c r="T39" s="83"/>
      <c r="U39" s="83"/>
      <c r="V39" s="83"/>
      <c r="W39" s="83"/>
      <c r="X39" s="84"/>
    </row>
    <row r="40" spans="5:24" ht="19.5" customHeight="1" x14ac:dyDescent="0.3">
      <c r="P40" s="85"/>
      <c r="Q40" s="86"/>
      <c r="R40" s="86"/>
      <c r="S40" s="86"/>
      <c r="T40" s="86"/>
      <c r="U40" s="86"/>
      <c r="V40" s="86"/>
      <c r="W40" s="86"/>
      <c r="X40" s="87"/>
    </row>
    <row r="43" spans="5:24" ht="19.5" customHeight="1" x14ac:dyDescent="0.3">
      <c r="P43" s="28"/>
      <c r="Q43" s="28"/>
      <c r="R43" s="28"/>
      <c r="S43" s="37"/>
      <c r="T43" s="28"/>
      <c r="U43" s="28"/>
      <c r="V43" s="28"/>
      <c r="W43" s="28"/>
      <c r="X43" s="28"/>
    </row>
    <row r="44" spans="5:24" ht="19.5" customHeight="1" x14ac:dyDescent="0.3">
      <c r="P44" s="28"/>
      <c r="Q44" s="28"/>
      <c r="R44" s="28"/>
      <c r="S44" s="37"/>
      <c r="T44" s="28"/>
      <c r="U44" s="28"/>
      <c r="V44" s="28"/>
      <c r="W44" s="28"/>
      <c r="X44" s="28"/>
    </row>
    <row r="45" spans="5:24" ht="19.5" customHeight="1" x14ac:dyDescent="0.3">
      <c r="P45" s="28"/>
      <c r="Q45" s="28"/>
      <c r="R45" s="28"/>
      <c r="S45" s="37"/>
      <c r="T45" s="28"/>
      <c r="U45" s="28"/>
      <c r="V45" s="28"/>
      <c r="W45" s="28"/>
      <c r="X45" s="28"/>
    </row>
  </sheetData>
  <sheetProtection selectLockedCells="1"/>
  <mergeCells count="59">
    <mergeCell ref="C18:L18"/>
    <mergeCell ref="C19:L19"/>
    <mergeCell ref="C20:L20"/>
    <mergeCell ref="C21:L21"/>
    <mergeCell ref="P38:X40"/>
    <mergeCell ref="L26:M26"/>
    <mergeCell ref="E29:J30"/>
    <mergeCell ref="L29:M29"/>
    <mergeCell ref="L30:M30"/>
    <mergeCell ref="L31:M31"/>
    <mergeCell ref="F32:H32"/>
    <mergeCell ref="I32:J32"/>
    <mergeCell ref="E33:J33"/>
    <mergeCell ref="L33:M33"/>
    <mergeCell ref="P31:X31"/>
    <mergeCell ref="P32:X33"/>
    <mergeCell ref="H27:J27"/>
    <mergeCell ref="E28:G28"/>
    <mergeCell ref="H28:J28"/>
    <mergeCell ref="L28:M28"/>
    <mergeCell ref="B2:B3"/>
    <mergeCell ref="M2:M3"/>
    <mergeCell ref="C3:L3"/>
    <mergeCell ref="C2:L2"/>
    <mergeCell ref="C16:L16"/>
    <mergeCell ref="C5:L5"/>
    <mergeCell ref="C6:L6"/>
    <mergeCell ref="C7:L7"/>
    <mergeCell ref="C8:L8"/>
    <mergeCell ref="C4:L4"/>
    <mergeCell ref="C11:L11"/>
    <mergeCell ref="C12:L12"/>
    <mergeCell ref="C13:L13"/>
    <mergeCell ref="C14:L14"/>
    <mergeCell ref="C15:L15"/>
    <mergeCell ref="C9:L9"/>
    <mergeCell ref="V2:W2"/>
    <mergeCell ref="V5:V6"/>
    <mergeCell ref="T5:U5"/>
    <mergeCell ref="P5:P6"/>
    <mergeCell ref="Q5:Q6"/>
    <mergeCell ref="R5:R6"/>
    <mergeCell ref="Q3:U3"/>
    <mergeCell ref="A4:A21"/>
    <mergeCell ref="C10:L10"/>
    <mergeCell ref="P36:X37"/>
    <mergeCell ref="P28:X30"/>
    <mergeCell ref="P25:X27"/>
    <mergeCell ref="P24:X24"/>
    <mergeCell ref="P34:X35"/>
    <mergeCell ref="R22:T22"/>
    <mergeCell ref="R23:T23"/>
    <mergeCell ref="U22:W22"/>
    <mergeCell ref="U23:W23"/>
    <mergeCell ref="L27:M27"/>
    <mergeCell ref="E26:J26"/>
    <mergeCell ref="D25:K25"/>
    <mergeCell ref="Q15:T15"/>
    <mergeCell ref="C17:L17"/>
  </mergeCells>
  <hyperlinks>
    <hyperlink ref="Q20" r:id="rId1"/>
  </hyperlinks>
  <printOptions horizontalCentered="1"/>
  <pageMargins left="0.25" right="0.25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89" r:id="rId5" name="Check Box 41">
              <controlPr defaultSize="0" autoFill="0" autoLine="0" autoPict="0">
                <anchor moveWithCells="1">
                  <from>
                    <xdr:col>12</xdr:col>
                    <xdr:colOff>209550</xdr:colOff>
                    <xdr:row>11</xdr:row>
                    <xdr:rowOff>9525</xdr:rowOff>
                  </from>
                  <to>
                    <xdr:col>12</xdr:col>
                    <xdr:colOff>447675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Check Box 57">
              <controlPr defaultSize="0" autoFill="0" autoLine="0" autoPict="0">
                <anchor moveWithCells="1">
                  <from>
                    <xdr:col>12</xdr:col>
                    <xdr:colOff>200025</xdr:colOff>
                    <xdr:row>10</xdr:row>
                    <xdr:rowOff>9525</xdr:rowOff>
                  </from>
                  <to>
                    <xdr:col>12</xdr:col>
                    <xdr:colOff>438150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7" name="Check Box 60">
              <controlPr defaultSize="0" autoFill="0" autoLine="0" autoPict="0">
                <anchor moveWithCells="1">
                  <from>
                    <xdr:col>12</xdr:col>
                    <xdr:colOff>200025</xdr:colOff>
                    <xdr:row>9</xdr:row>
                    <xdr:rowOff>0</xdr:rowOff>
                  </from>
                  <to>
                    <xdr:col>12</xdr:col>
                    <xdr:colOff>438150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8" name="Check Box 65">
              <controlPr defaultSize="0" autoFill="0" autoLine="0" autoPict="0">
                <anchor moveWithCells="1">
                  <from>
                    <xdr:col>12</xdr:col>
                    <xdr:colOff>200025</xdr:colOff>
                    <xdr:row>8</xdr:row>
                    <xdr:rowOff>0</xdr:rowOff>
                  </from>
                  <to>
                    <xdr:col>12</xdr:col>
                    <xdr:colOff>438150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9" name="Check Box 70">
              <controlPr defaultSize="0" autoFill="0" autoLine="0" autoPict="0">
                <anchor moveWithCells="1">
                  <from>
                    <xdr:col>12</xdr:col>
                    <xdr:colOff>200025</xdr:colOff>
                    <xdr:row>7</xdr:row>
                    <xdr:rowOff>0</xdr:rowOff>
                  </from>
                  <to>
                    <xdr:col>12</xdr:col>
                    <xdr:colOff>438150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10" name="Check Box 75">
              <controlPr defaultSize="0" autoFill="0" autoLine="0" autoPict="0">
                <anchor moveWithCells="1">
                  <from>
                    <xdr:col>12</xdr:col>
                    <xdr:colOff>209550</xdr:colOff>
                    <xdr:row>6</xdr:row>
                    <xdr:rowOff>0</xdr:rowOff>
                  </from>
                  <to>
                    <xdr:col>12</xdr:col>
                    <xdr:colOff>447675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11" name="Check Box 80">
              <controlPr defaultSize="0" autoFill="0" autoLine="0" autoPict="0">
                <anchor moveWithCells="1">
                  <from>
                    <xdr:col>12</xdr:col>
                    <xdr:colOff>209550</xdr:colOff>
                    <xdr:row>5</xdr:row>
                    <xdr:rowOff>9525</xdr:rowOff>
                  </from>
                  <to>
                    <xdr:col>12</xdr:col>
                    <xdr:colOff>447675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12" name="Check Box 85">
              <controlPr defaultSize="0" autoFill="0" autoLine="0" autoPict="0">
                <anchor moveWithCells="1">
                  <from>
                    <xdr:col>12</xdr:col>
                    <xdr:colOff>200025</xdr:colOff>
                    <xdr:row>4</xdr:row>
                    <xdr:rowOff>0</xdr:rowOff>
                  </from>
                  <to>
                    <xdr:col>12</xdr:col>
                    <xdr:colOff>438150</xdr:colOff>
                    <xdr:row>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13" name="Check Box 94">
              <controlPr defaultSize="0" autoFill="0" autoLine="0" autoPict="0">
                <anchor moveWithCells="1">
                  <from>
                    <xdr:col>12</xdr:col>
                    <xdr:colOff>200025</xdr:colOff>
                    <xdr:row>3</xdr:row>
                    <xdr:rowOff>9525</xdr:rowOff>
                  </from>
                  <to>
                    <xdr:col>12</xdr:col>
                    <xdr:colOff>438150</xdr:colOff>
                    <xdr:row>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4" name="Check Box 39">
              <controlPr defaultSize="0" autoFill="0" autoLine="0" autoPict="0">
                <anchor moveWithCells="1">
                  <from>
                    <xdr:col>12</xdr:col>
                    <xdr:colOff>209550</xdr:colOff>
                    <xdr:row>13</xdr:row>
                    <xdr:rowOff>9525</xdr:rowOff>
                  </from>
                  <to>
                    <xdr:col>12</xdr:col>
                    <xdr:colOff>447675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5" name="Check Box 42">
              <controlPr defaultSize="0" autoFill="0" autoLine="0" autoPict="0">
                <anchor moveWithCells="1">
                  <from>
                    <xdr:col>12</xdr:col>
                    <xdr:colOff>209550</xdr:colOff>
                    <xdr:row>12</xdr:row>
                    <xdr:rowOff>0</xdr:rowOff>
                  </from>
                  <to>
                    <xdr:col>12</xdr:col>
                    <xdr:colOff>447675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6" name="Check Box 40">
              <controlPr defaultSize="0" autoFill="0" autoLine="0" autoPict="0">
                <anchor moveWithCells="1">
                  <from>
                    <xdr:col>12</xdr:col>
                    <xdr:colOff>209550</xdr:colOff>
                    <xdr:row>14</xdr:row>
                    <xdr:rowOff>9525</xdr:rowOff>
                  </from>
                  <to>
                    <xdr:col>12</xdr:col>
                    <xdr:colOff>447675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17" name="Check Box 488">
              <controlPr defaultSize="0" autoFill="0" autoLine="0" autoPict="0">
                <anchor moveWithCells="1">
                  <from>
                    <xdr:col>12</xdr:col>
                    <xdr:colOff>209550</xdr:colOff>
                    <xdr:row>16</xdr:row>
                    <xdr:rowOff>9525</xdr:rowOff>
                  </from>
                  <to>
                    <xdr:col>12</xdr:col>
                    <xdr:colOff>447675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18" name="Check Box 490">
              <controlPr defaultSize="0" autoFill="0" autoLine="0" autoPict="0">
                <anchor moveWithCells="1">
                  <from>
                    <xdr:col>12</xdr:col>
                    <xdr:colOff>209550</xdr:colOff>
                    <xdr:row>17</xdr:row>
                    <xdr:rowOff>9525</xdr:rowOff>
                  </from>
                  <to>
                    <xdr:col>12</xdr:col>
                    <xdr:colOff>447675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19" name="Check Box 492">
              <controlPr defaultSize="0" autoFill="0" autoLine="0" autoPict="0">
                <anchor moveWithCells="1">
                  <from>
                    <xdr:col>12</xdr:col>
                    <xdr:colOff>209550</xdr:colOff>
                    <xdr:row>18</xdr:row>
                    <xdr:rowOff>9525</xdr:rowOff>
                  </from>
                  <to>
                    <xdr:col>12</xdr:col>
                    <xdr:colOff>447675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20" name="Check Box 481">
              <controlPr defaultSize="0" autoFill="0" autoLine="0" autoPict="0">
                <anchor moveWithCells="1">
                  <from>
                    <xdr:col>12</xdr:col>
                    <xdr:colOff>209550</xdr:colOff>
                    <xdr:row>15</xdr:row>
                    <xdr:rowOff>9525</xdr:rowOff>
                  </from>
                  <to>
                    <xdr:col>12</xdr:col>
                    <xdr:colOff>447675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21" name="Check Box 495">
              <controlPr defaultSize="0" autoFill="0" autoLine="0" autoPict="0">
                <anchor moveWithCells="1">
                  <from>
                    <xdr:col>12</xdr:col>
                    <xdr:colOff>209550</xdr:colOff>
                    <xdr:row>19</xdr:row>
                    <xdr:rowOff>9525</xdr:rowOff>
                  </from>
                  <to>
                    <xdr:col>12</xdr:col>
                    <xdr:colOff>447675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5" r:id="rId22" name="Check Box 497">
              <controlPr defaultSize="0" autoFill="0" autoLine="0" autoPict="0">
                <anchor moveWithCells="1">
                  <from>
                    <xdr:col>12</xdr:col>
                    <xdr:colOff>200025</xdr:colOff>
                    <xdr:row>20</xdr:row>
                    <xdr:rowOff>95250</xdr:rowOff>
                  </from>
                  <to>
                    <xdr:col>12</xdr:col>
                    <xdr:colOff>438150</xdr:colOff>
                    <xdr:row>20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5" r:id="rId23" name="Check Box 557">
              <controlPr defaultSize="0" autoFill="0" autoLine="0" autoPict="0">
                <anchor moveWithCells="1">
                  <from>
                    <xdr:col>17</xdr:col>
                    <xdr:colOff>200025</xdr:colOff>
                    <xdr:row>10</xdr:row>
                    <xdr:rowOff>9525</xdr:rowOff>
                  </from>
                  <to>
                    <xdr:col>17</xdr:col>
                    <xdr:colOff>438150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24" name="Check Box 558">
              <controlPr defaultSize="0" autoFill="0" autoLine="0" autoPict="0">
                <anchor moveWithCells="1">
                  <from>
                    <xdr:col>17</xdr:col>
                    <xdr:colOff>200025</xdr:colOff>
                    <xdr:row>11</xdr:row>
                    <xdr:rowOff>9525</xdr:rowOff>
                  </from>
                  <to>
                    <xdr:col>17</xdr:col>
                    <xdr:colOff>438150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25" name="Check Box 559">
              <controlPr defaultSize="0" autoFill="0" autoLine="0" autoPict="0">
                <anchor moveWithCells="1">
                  <from>
                    <xdr:col>17</xdr:col>
                    <xdr:colOff>200025</xdr:colOff>
                    <xdr:row>12</xdr:row>
                    <xdr:rowOff>9525</xdr:rowOff>
                  </from>
                  <to>
                    <xdr:col>17</xdr:col>
                    <xdr:colOff>438150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26" name="Check Box 560">
              <controlPr defaultSize="0" autoFill="0" autoLine="0" autoPict="0">
                <anchor moveWithCells="1">
                  <from>
                    <xdr:col>17</xdr:col>
                    <xdr:colOff>200025</xdr:colOff>
                    <xdr:row>13</xdr:row>
                    <xdr:rowOff>9525</xdr:rowOff>
                  </from>
                  <to>
                    <xdr:col>17</xdr:col>
                    <xdr:colOff>438150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27" name="Check Box 553">
              <controlPr defaultSize="0" autoFill="0" autoLine="0" autoPict="0">
                <anchor moveWithCells="1">
                  <from>
                    <xdr:col>17</xdr:col>
                    <xdr:colOff>200025</xdr:colOff>
                    <xdr:row>6</xdr:row>
                    <xdr:rowOff>9525</xdr:rowOff>
                  </from>
                  <to>
                    <xdr:col>17</xdr:col>
                    <xdr:colOff>438150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28" name="Check Box 564">
              <controlPr defaultSize="0" autoFill="0" autoLine="0" autoPict="0">
                <anchor moveWithCells="1">
                  <from>
                    <xdr:col>17</xdr:col>
                    <xdr:colOff>200025</xdr:colOff>
                    <xdr:row>8</xdr:row>
                    <xdr:rowOff>9525</xdr:rowOff>
                  </from>
                  <to>
                    <xdr:col>17</xdr:col>
                    <xdr:colOff>438150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29" name="Check Box 565">
              <controlPr defaultSize="0" autoFill="0" autoLine="0" autoPict="0">
                <anchor moveWithCells="1">
                  <from>
                    <xdr:col>17</xdr:col>
                    <xdr:colOff>200025</xdr:colOff>
                    <xdr:row>9</xdr:row>
                    <xdr:rowOff>9525</xdr:rowOff>
                  </from>
                  <to>
                    <xdr:col>17</xdr:col>
                    <xdr:colOff>438150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30" name="Check Box 566">
              <controlPr defaultSize="0" autoFill="0" autoLine="0" autoPict="0">
                <anchor moveWithCells="1">
                  <from>
                    <xdr:col>17</xdr:col>
                    <xdr:colOff>200025</xdr:colOff>
                    <xdr:row>10</xdr:row>
                    <xdr:rowOff>9525</xdr:rowOff>
                  </from>
                  <to>
                    <xdr:col>17</xdr:col>
                    <xdr:colOff>438150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31" name="Check Box 567">
              <controlPr defaultSize="0" autoFill="0" autoLine="0" autoPict="0">
                <anchor moveWithCells="1">
                  <from>
                    <xdr:col>17</xdr:col>
                    <xdr:colOff>200025</xdr:colOff>
                    <xdr:row>11</xdr:row>
                    <xdr:rowOff>9525</xdr:rowOff>
                  </from>
                  <to>
                    <xdr:col>17</xdr:col>
                    <xdr:colOff>438150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32" name="Check Box 568">
              <controlPr defaultSize="0" autoFill="0" autoLine="0" autoPict="0">
                <anchor moveWithCells="1">
                  <from>
                    <xdr:col>17</xdr:col>
                    <xdr:colOff>200025</xdr:colOff>
                    <xdr:row>12</xdr:row>
                    <xdr:rowOff>9525</xdr:rowOff>
                  </from>
                  <to>
                    <xdr:col>17</xdr:col>
                    <xdr:colOff>438150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33" name="Check Box 569">
              <controlPr defaultSize="0" autoFill="0" autoLine="0" autoPict="0">
                <anchor moveWithCells="1">
                  <from>
                    <xdr:col>17</xdr:col>
                    <xdr:colOff>200025</xdr:colOff>
                    <xdr:row>13</xdr:row>
                    <xdr:rowOff>9525</xdr:rowOff>
                  </from>
                  <to>
                    <xdr:col>17</xdr:col>
                    <xdr:colOff>438150</xdr:colOff>
                    <xdr:row>13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34" name="Check Box 563">
              <controlPr defaultSize="0" autoFill="0" autoLine="0" autoPict="0">
                <anchor moveWithCells="1">
                  <from>
                    <xdr:col>17</xdr:col>
                    <xdr:colOff>200025</xdr:colOff>
                    <xdr:row>7</xdr:row>
                    <xdr:rowOff>9525</xdr:rowOff>
                  </from>
                  <to>
                    <xdr:col>17</xdr:col>
                    <xdr:colOff>438150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35" name="Check Box 570">
              <controlPr defaultSize="0" autoFill="0" autoLine="0" autoPict="0">
                <anchor moveWithCells="1">
                  <from>
                    <xdr:col>17</xdr:col>
                    <xdr:colOff>200025</xdr:colOff>
                    <xdr:row>6</xdr:row>
                    <xdr:rowOff>9525</xdr:rowOff>
                  </from>
                  <to>
                    <xdr:col>17</xdr:col>
                    <xdr:colOff>438150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36" name="Check Box 573">
              <controlPr defaultSize="0" autoFill="0" autoLine="0" autoPict="0">
                <anchor moveWithCells="1">
                  <from>
                    <xdr:col>25</xdr:col>
                    <xdr:colOff>228600</xdr:colOff>
                    <xdr:row>2</xdr:row>
                    <xdr:rowOff>38100</xdr:rowOff>
                  </from>
                  <to>
                    <xdr:col>25</xdr:col>
                    <xdr:colOff>466725</xdr:colOff>
                    <xdr:row>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cp:lastPrinted>2025-02-04T16:40:15Z</cp:lastPrinted>
  <dcterms:created xsi:type="dcterms:W3CDTF">2024-11-22T12:18:37Z</dcterms:created>
  <dcterms:modified xsi:type="dcterms:W3CDTF">2026-01-06T05:54:35Z</dcterms:modified>
</cp:coreProperties>
</file>